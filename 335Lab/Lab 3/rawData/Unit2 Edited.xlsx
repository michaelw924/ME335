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3\rawData\"/>
    </mc:Choice>
  </mc:AlternateContent>
  <xr:revisionPtr revIDLastSave="0" documentId="13_ncr:1_{D46E5276-34AA-43E2-A37F-D9EB68F70AA5}" xr6:coauthVersionLast="46" xr6:coauthVersionMax="46" xr10:uidLastSave="{00000000-0000-0000-0000-000000000000}"/>
  <bookViews>
    <workbookView xWindow="-25320" yWindow="-120" windowWidth="25440" windowHeight="15990" xr2:uid="{00000000-000D-0000-FFFF-FFFF00000000}"/>
  </bookViews>
  <sheets>
    <sheet name="Unit2Ra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G198" i="1"/>
  <c r="F198" i="1"/>
  <c r="G193" i="1"/>
  <c r="F193" i="1"/>
  <c r="G188" i="1"/>
  <c r="F188" i="1"/>
  <c r="G183" i="1"/>
  <c r="F183" i="1"/>
  <c r="G178" i="1"/>
  <c r="F178" i="1"/>
  <c r="G173" i="1"/>
  <c r="F173" i="1"/>
  <c r="G168" i="1"/>
  <c r="F168" i="1"/>
  <c r="G163" i="1"/>
  <c r="F163" i="1"/>
  <c r="G158" i="1"/>
  <c r="F158" i="1"/>
  <c r="G150" i="1"/>
  <c r="F150" i="1"/>
  <c r="G145" i="1"/>
  <c r="F145" i="1"/>
  <c r="G140" i="1"/>
  <c r="F140" i="1"/>
  <c r="G135" i="1"/>
  <c r="F135" i="1"/>
  <c r="G130" i="1"/>
  <c r="F130" i="1"/>
  <c r="G125" i="1"/>
  <c r="F125" i="1"/>
  <c r="G120" i="1"/>
  <c r="F120" i="1"/>
  <c r="G115" i="1"/>
  <c r="F115" i="1"/>
  <c r="G110" i="1"/>
  <c r="F110" i="1"/>
  <c r="G102" i="1"/>
  <c r="F102" i="1"/>
  <c r="G97" i="1"/>
  <c r="F97" i="1"/>
  <c r="G92" i="1"/>
  <c r="F92" i="1"/>
  <c r="G87" i="1"/>
  <c r="F87" i="1"/>
  <c r="G82" i="1"/>
  <c r="F82" i="1"/>
  <c r="G77" i="1"/>
  <c r="F77" i="1"/>
  <c r="G72" i="1"/>
  <c r="F72" i="1"/>
  <c r="G67" i="1"/>
  <c r="F67" i="1"/>
  <c r="G62" i="1"/>
  <c r="F62" i="1"/>
  <c r="G54" i="1"/>
  <c r="F54" i="1"/>
  <c r="G49" i="1"/>
  <c r="F49" i="1"/>
  <c r="G44" i="1"/>
  <c r="F44" i="1"/>
  <c r="G39" i="1"/>
  <c r="F39" i="1"/>
  <c r="G34" i="1"/>
  <c r="F34" i="1"/>
  <c r="G29" i="1"/>
  <c r="F29" i="1"/>
  <c r="G24" i="1"/>
  <c r="F24" i="1"/>
  <c r="G19" i="1"/>
  <c r="F19" i="1"/>
  <c r="G14" i="1"/>
  <c r="F14" i="1"/>
  <c r="J158" i="1"/>
  <c r="J157" i="1"/>
  <c r="J156" i="1"/>
  <c r="J154" i="1"/>
  <c r="J155" i="1" s="1"/>
  <c r="J159" i="1" s="1"/>
  <c r="J160" i="1" s="1"/>
  <c r="J110" i="1"/>
  <c r="J109" i="1"/>
  <c r="J108" i="1"/>
  <c r="J106" i="1"/>
  <c r="J107" i="1" s="1"/>
  <c r="J111" i="1" s="1"/>
  <c r="J112" i="1" s="1"/>
  <c r="J62" i="1"/>
  <c r="J61" i="1"/>
  <c r="J60" i="1"/>
  <c r="J58" i="1"/>
  <c r="J59" i="1" s="1"/>
  <c r="J63" i="1" s="1"/>
  <c r="J64" i="1" s="1"/>
  <c r="J14" i="1"/>
  <c r="J13" i="1"/>
  <c r="J12" i="1"/>
  <c r="J10" i="1"/>
  <c r="J11" i="1" s="1"/>
  <c r="J18" i="1" s="1"/>
  <c r="J66" i="1" l="1"/>
  <c r="J114" i="1"/>
  <c r="J162" i="1"/>
</calcChain>
</file>

<file path=xl/sharedStrings.xml><?xml version="1.0" encoding="utf-8"?>
<sst xmlns="http://schemas.openxmlformats.org/spreadsheetml/2006/main" count="254" uniqueCount="41">
  <si>
    <t>ME 335 Obstruction Flow Meters Lab</t>
  </si>
  <si>
    <t>Date:</t>
  </si>
  <si>
    <t>Time:</t>
  </si>
  <si>
    <t>Section 6</t>
  </si>
  <si>
    <t>Group 2</t>
  </si>
  <si>
    <t>Group Members:</t>
  </si>
  <si>
    <t>3000 RPM</t>
  </si>
  <si>
    <t>Sample Number</t>
  </si>
  <si>
    <t>Delta Pressure (in. H2O)</t>
  </si>
  <si>
    <t>Tap Location</t>
  </si>
  <si>
    <t>Tap Pressure (in. H20)</t>
  </si>
  <si>
    <t>Flow Rate (GPM)</t>
  </si>
  <si>
    <t>S19G</t>
  </si>
  <si>
    <t>S20G</t>
  </si>
  <si>
    <t>S21G</t>
  </si>
  <si>
    <t>S5G</t>
  </si>
  <si>
    <t>S6G</t>
  </si>
  <si>
    <t>S22G</t>
  </si>
  <si>
    <t>S23G</t>
  </si>
  <si>
    <t>S24G</t>
  </si>
  <si>
    <t>S25G</t>
  </si>
  <si>
    <t>2500 RPM</t>
  </si>
  <si>
    <t>2000 RPM</t>
  </si>
  <si>
    <t>1500 RPM</t>
  </si>
  <si>
    <t>Average Flow Rate =</t>
  </si>
  <si>
    <t xml:space="preserve">Min Flow Rate = </t>
  </si>
  <si>
    <t>Max Flow Rate =</t>
  </si>
  <si>
    <t xml:space="preserve">Standard Dev. = </t>
  </si>
  <si>
    <t xml:space="preserve">Beta = </t>
  </si>
  <si>
    <t>Density =</t>
  </si>
  <si>
    <t xml:space="preserve">Ap = </t>
  </si>
  <si>
    <t xml:space="preserve">Ao = </t>
  </si>
  <si>
    <t xml:space="preserve">Dynamic Visc. = </t>
  </si>
  <si>
    <t xml:space="preserve">Velocity = </t>
  </si>
  <si>
    <t>Average Flow rate (m3/s) =</t>
  </si>
  <si>
    <t xml:space="preserve">Reynolds = </t>
  </si>
  <si>
    <t xml:space="preserve">Co = </t>
  </si>
  <si>
    <t>Delta P =</t>
  </si>
  <si>
    <t>Kinematic Visc. =</t>
  </si>
  <si>
    <t>avg pressure</t>
  </si>
  <si>
    <t>avg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</si>
</sst>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topLeftCell="A146" zoomScale="115" zoomScaleNormal="115" workbookViewId="0">
      <selection activeCell="K27" sqref="K27"/>
    </sheetView>
  </sheetViews>
  <sheetFormatPr defaultRowHeight="14.4" x14ac:dyDescent="0.3"/>
  <cols>
    <col min="2" max="2" width="24.33203125" customWidth="1"/>
    <col min="3" max="3" width="12.21875" style="3" bestFit="1" customWidth="1"/>
    <col min="4" max="4" width="20.5546875" bestFit="1" customWidth="1"/>
    <col min="5" max="5" width="16.6640625" bestFit="1" customWidth="1"/>
    <col min="6" max="6" width="13" bestFit="1" customWidth="1"/>
    <col min="9" max="9" width="24.44140625" bestFit="1" customWidth="1"/>
    <col min="10" max="10" width="10.88671875" customWidth="1"/>
  </cols>
  <sheetData>
    <row r="1" spans="1:10" x14ac:dyDescent="0.3">
      <c r="A1" t="s">
        <v>0</v>
      </c>
    </row>
    <row r="2" spans="1:10" x14ac:dyDescent="0.3">
      <c r="A2" t="s">
        <v>1</v>
      </c>
      <c r="B2" s="1">
        <v>44279</v>
      </c>
      <c r="D2" t="s">
        <v>2</v>
      </c>
      <c r="E2" s="2">
        <v>0.42638888888888887</v>
      </c>
      <c r="F2" s="2"/>
      <c r="G2" s="2"/>
      <c r="I2" t="s">
        <v>28</v>
      </c>
      <c r="J2">
        <v>0.70899999999999996</v>
      </c>
    </row>
    <row r="3" spans="1:10" x14ac:dyDescent="0.3">
      <c r="I3" t="s">
        <v>29</v>
      </c>
      <c r="J3">
        <v>997.88570000000004</v>
      </c>
    </row>
    <row r="4" spans="1:10" x14ac:dyDescent="0.3">
      <c r="A4" t="s">
        <v>3</v>
      </c>
      <c r="B4" t="s">
        <v>4</v>
      </c>
      <c r="I4" t="s">
        <v>30</v>
      </c>
      <c r="J4">
        <v>1.9090000000000001E-3</v>
      </c>
    </row>
    <row r="5" spans="1:10" x14ac:dyDescent="0.3">
      <c r="A5" t="s">
        <v>5</v>
      </c>
      <c r="I5" t="s">
        <v>31</v>
      </c>
      <c r="J5">
        <v>9.5799999999999998E-4</v>
      </c>
    </row>
    <row r="6" spans="1:10" x14ac:dyDescent="0.3">
      <c r="I6" t="s">
        <v>32</v>
      </c>
      <c r="J6">
        <v>9.6469999999999998E-4</v>
      </c>
    </row>
    <row r="7" spans="1:10" x14ac:dyDescent="0.3">
      <c r="I7" t="s">
        <v>38</v>
      </c>
      <c r="J7" s="6">
        <v>9.6669999999999999E-7</v>
      </c>
    </row>
    <row r="8" spans="1:10" ht="18" x14ac:dyDescent="0.35">
      <c r="B8" s="4" t="s">
        <v>6</v>
      </c>
    </row>
    <row r="9" spans="1:10" x14ac:dyDescent="0.3">
      <c r="A9" t="s">
        <v>7</v>
      </c>
      <c r="B9" t="s">
        <v>8</v>
      </c>
      <c r="C9" s="3" t="s">
        <v>9</v>
      </c>
      <c r="D9" t="s">
        <v>10</v>
      </c>
      <c r="E9" t="s">
        <v>11</v>
      </c>
      <c r="F9" t="s">
        <v>39</v>
      </c>
      <c r="G9" t="s">
        <v>40</v>
      </c>
    </row>
    <row r="10" spans="1:10" x14ac:dyDescent="0.3">
      <c r="A10">
        <v>1</v>
      </c>
      <c r="B10">
        <v>432.47</v>
      </c>
      <c r="C10" s="3" t="s">
        <v>12</v>
      </c>
      <c r="D10">
        <v>169.14</v>
      </c>
      <c r="E10">
        <v>48</v>
      </c>
      <c r="I10" t="s">
        <v>24</v>
      </c>
      <c r="J10">
        <f>AVERAGE(E10:E54)</f>
        <v>47.864888888888878</v>
      </c>
    </row>
    <row r="11" spans="1:10" x14ac:dyDescent="0.3">
      <c r="A11">
        <v>2</v>
      </c>
      <c r="B11">
        <v>432.76</v>
      </c>
      <c r="C11" s="3" t="s">
        <v>12</v>
      </c>
      <c r="D11">
        <v>168.74</v>
      </c>
      <c r="E11">
        <v>48.07</v>
      </c>
      <c r="I11" t="s">
        <v>34</v>
      </c>
      <c r="J11">
        <f>J10/15850.3</f>
        <v>3.0198096495895272E-3</v>
      </c>
    </row>
    <row r="12" spans="1:10" x14ac:dyDescent="0.3">
      <c r="A12">
        <v>3</v>
      </c>
      <c r="B12">
        <v>434.14</v>
      </c>
      <c r="C12" s="3" t="s">
        <v>12</v>
      </c>
      <c r="D12">
        <v>168.06</v>
      </c>
      <c r="E12">
        <v>47.88</v>
      </c>
      <c r="I12" t="s">
        <v>25</v>
      </c>
      <c r="J12">
        <f>MIN(E10:E54)</f>
        <v>47.63</v>
      </c>
    </row>
    <row r="13" spans="1:10" x14ac:dyDescent="0.3">
      <c r="A13">
        <v>4</v>
      </c>
      <c r="B13">
        <v>434.24</v>
      </c>
      <c r="C13" s="3" t="s">
        <v>12</v>
      </c>
      <c r="D13">
        <v>167.95</v>
      </c>
      <c r="E13">
        <v>47.86</v>
      </c>
      <c r="I13" t="s">
        <v>26</v>
      </c>
      <c r="J13">
        <f xml:space="preserve"> MAX(E10:E54)</f>
        <v>48.07</v>
      </c>
    </row>
    <row r="14" spans="1:10" x14ac:dyDescent="0.3">
      <c r="A14">
        <v>5</v>
      </c>
      <c r="B14">
        <v>433.05</v>
      </c>
      <c r="C14" s="3" t="s">
        <v>12</v>
      </c>
      <c r="D14">
        <v>167.63</v>
      </c>
      <c r="E14">
        <v>47.86</v>
      </c>
      <c r="F14">
        <f>AVERAGE(D10:D14)</f>
        <v>168.304</v>
      </c>
      <c r="G14">
        <f>AVERAGE(E10:E14)</f>
        <v>47.934000000000005</v>
      </c>
      <c r="I14" t="s">
        <v>27</v>
      </c>
      <c r="J14">
        <f>_xlfn.STDEV.S(E10:E54)</f>
        <v>9.316705968367256E-2</v>
      </c>
    </row>
    <row r="15" spans="1:10" x14ac:dyDescent="0.3">
      <c r="A15">
        <v>1</v>
      </c>
      <c r="B15">
        <v>433.6</v>
      </c>
      <c r="C15" s="3" t="s">
        <v>13</v>
      </c>
      <c r="D15">
        <v>167.01</v>
      </c>
      <c r="E15">
        <v>47.85</v>
      </c>
      <c r="I15" t="s">
        <v>33</v>
      </c>
      <c r="J15">
        <f>J11/$J$4</f>
        <v>1.5818803821841421</v>
      </c>
    </row>
    <row r="16" spans="1:10" x14ac:dyDescent="0.3">
      <c r="A16">
        <v>2</v>
      </c>
      <c r="B16">
        <v>435.28</v>
      </c>
      <c r="C16" s="3" t="s">
        <v>13</v>
      </c>
      <c r="D16">
        <v>168.52</v>
      </c>
      <c r="E16">
        <v>47.94</v>
      </c>
      <c r="I16" t="s">
        <v>35</v>
      </c>
      <c r="J16">
        <f>$J$3*J15*0.0493/$J$6</f>
        <v>80669.447036239289</v>
      </c>
    </row>
    <row r="17" spans="1:10" x14ac:dyDescent="0.3">
      <c r="A17">
        <v>3</v>
      </c>
      <c r="B17">
        <v>431.29</v>
      </c>
      <c r="C17" s="3" t="s">
        <v>13</v>
      </c>
      <c r="D17">
        <v>168.55</v>
      </c>
      <c r="E17">
        <v>47.79</v>
      </c>
      <c r="I17" t="s">
        <v>36</v>
      </c>
      <c r="J17">
        <v>0.61599999999999999</v>
      </c>
    </row>
    <row r="18" spans="1:10" x14ac:dyDescent="0.3">
      <c r="A18">
        <v>4</v>
      </c>
      <c r="B18">
        <v>432.95</v>
      </c>
      <c r="C18" s="3" t="s">
        <v>13</v>
      </c>
      <c r="D18">
        <v>169.44</v>
      </c>
      <c r="E18">
        <v>47.91</v>
      </c>
      <c r="I18" t="s">
        <v>37</v>
      </c>
      <c r="J18">
        <f>((J11/(J17*$J$5))^2)*(($J$3*(1-($J$2^4)))/2)</f>
        <v>9763.8105690314787</v>
      </c>
    </row>
    <row r="19" spans="1:10" x14ac:dyDescent="0.3">
      <c r="A19">
        <v>5</v>
      </c>
      <c r="B19">
        <v>431.88</v>
      </c>
      <c r="C19" s="3" t="s">
        <v>13</v>
      </c>
      <c r="D19">
        <v>169.23</v>
      </c>
      <c r="E19">
        <v>47.98</v>
      </c>
      <c r="F19">
        <f>AVERAGE(D15:D19)</f>
        <v>168.55</v>
      </c>
      <c r="G19">
        <f>AVERAGE(E15:E19)</f>
        <v>47.893999999999991</v>
      </c>
    </row>
    <row r="20" spans="1:10" x14ac:dyDescent="0.3">
      <c r="A20">
        <v>1</v>
      </c>
      <c r="B20">
        <v>431.98</v>
      </c>
      <c r="C20" s="3" t="s">
        <v>14</v>
      </c>
      <c r="D20">
        <v>168.29</v>
      </c>
      <c r="E20">
        <v>47.85</v>
      </c>
      <c r="J20" s="6"/>
    </row>
    <row r="21" spans="1:10" x14ac:dyDescent="0.3">
      <c r="A21">
        <v>2</v>
      </c>
      <c r="B21">
        <v>433.14</v>
      </c>
      <c r="C21" s="3" t="s">
        <v>14</v>
      </c>
      <c r="D21">
        <v>169.62</v>
      </c>
      <c r="E21">
        <v>47.93</v>
      </c>
    </row>
    <row r="22" spans="1:10" x14ac:dyDescent="0.3">
      <c r="A22">
        <v>3</v>
      </c>
      <c r="B22">
        <v>432.7</v>
      </c>
      <c r="C22" s="3" t="s">
        <v>14</v>
      </c>
      <c r="D22">
        <v>168.7</v>
      </c>
      <c r="E22">
        <v>47.84</v>
      </c>
    </row>
    <row r="23" spans="1:10" x14ac:dyDescent="0.3">
      <c r="A23">
        <v>4</v>
      </c>
      <c r="B23">
        <v>433.76</v>
      </c>
      <c r="C23" s="3" t="s">
        <v>14</v>
      </c>
      <c r="D23">
        <v>169.05</v>
      </c>
      <c r="E23">
        <v>47.92</v>
      </c>
    </row>
    <row r="24" spans="1:10" x14ac:dyDescent="0.3">
      <c r="A24">
        <v>5</v>
      </c>
      <c r="B24">
        <v>431.98</v>
      </c>
      <c r="C24" s="3" t="s">
        <v>14</v>
      </c>
      <c r="D24">
        <v>169.64</v>
      </c>
      <c r="E24">
        <v>47.85</v>
      </c>
      <c r="F24">
        <f>AVERAGE(D20:D24)</f>
        <v>169.06</v>
      </c>
      <c r="G24">
        <f>AVERAGE(E20:E24)</f>
        <v>47.878</v>
      </c>
    </row>
    <row r="25" spans="1:10" x14ac:dyDescent="0.3">
      <c r="A25">
        <v>1</v>
      </c>
      <c r="B25">
        <v>433.67</v>
      </c>
      <c r="C25" s="3" t="s">
        <v>15</v>
      </c>
      <c r="D25">
        <v>168.3</v>
      </c>
      <c r="E25">
        <v>47.8</v>
      </c>
    </row>
    <row r="26" spans="1:10" x14ac:dyDescent="0.3">
      <c r="A26">
        <v>2</v>
      </c>
      <c r="B26">
        <v>431.62</v>
      </c>
      <c r="C26" s="3" t="s">
        <v>15</v>
      </c>
      <c r="D26">
        <v>170.19</v>
      </c>
      <c r="E26">
        <v>47.81</v>
      </c>
    </row>
    <row r="27" spans="1:10" x14ac:dyDescent="0.3">
      <c r="A27">
        <v>3</v>
      </c>
      <c r="B27">
        <v>432.54</v>
      </c>
      <c r="C27" s="3" t="s">
        <v>15</v>
      </c>
      <c r="D27">
        <v>169.01</v>
      </c>
      <c r="E27">
        <v>47.91</v>
      </c>
    </row>
    <row r="28" spans="1:10" x14ac:dyDescent="0.3">
      <c r="A28">
        <v>4</v>
      </c>
      <c r="B28">
        <v>430.94</v>
      </c>
      <c r="C28" s="3" t="s">
        <v>15</v>
      </c>
      <c r="D28">
        <v>168.24</v>
      </c>
      <c r="E28">
        <v>47.9</v>
      </c>
    </row>
    <row r="29" spans="1:10" x14ac:dyDescent="0.3">
      <c r="A29">
        <v>5</v>
      </c>
      <c r="B29">
        <v>432.76</v>
      </c>
      <c r="C29" s="3" t="s">
        <v>15</v>
      </c>
      <c r="D29">
        <v>167.93</v>
      </c>
      <c r="E29">
        <v>47.89</v>
      </c>
      <c r="F29">
        <f>AVERAGE(D25:D29)</f>
        <v>168.73400000000001</v>
      </c>
      <c r="G29">
        <f>AVERAGE(E25:E29)</f>
        <v>47.862000000000002</v>
      </c>
    </row>
    <row r="30" spans="1:10" x14ac:dyDescent="0.3">
      <c r="A30">
        <v>1</v>
      </c>
      <c r="B30">
        <v>431.53</v>
      </c>
      <c r="C30" s="3" t="s">
        <v>16</v>
      </c>
      <c r="D30">
        <v>147.84</v>
      </c>
      <c r="E30">
        <v>47.84</v>
      </c>
    </row>
    <row r="31" spans="1:10" x14ac:dyDescent="0.3">
      <c r="A31">
        <v>2</v>
      </c>
      <c r="B31">
        <v>430.82</v>
      </c>
      <c r="C31" s="3" t="s">
        <v>16</v>
      </c>
      <c r="D31">
        <v>132.66</v>
      </c>
      <c r="E31">
        <v>48.03</v>
      </c>
    </row>
    <row r="32" spans="1:10" x14ac:dyDescent="0.3">
      <c r="A32">
        <v>3</v>
      </c>
      <c r="B32">
        <v>431.7</v>
      </c>
      <c r="C32" s="3" t="s">
        <v>16</v>
      </c>
      <c r="D32">
        <v>132.61000000000001</v>
      </c>
      <c r="E32">
        <v>47.8</v>
      </c>
    </row>
    <row r="33" spans="1:7" x14ac:dyDescent="0.3">
      <c r="A33">
        <v>4</v>
      </c>
      <c r="B33">
        <v>431.22</v>
      </c>
      <c r="C33" s="3" t="s">
        <v>16</v>
      </c>
      <c r="D33">
        <v>132.37</v>
      </c>
      <c r="E33">
        <v>47.88</v>
      </c>
    </row>
    <row r="34" spans="1:7" x14ac:dyDescent="0.3">
      <c r="A34">
        <v>5</v>
      </c>
      <c r="B34">
        <v>433.01</v>
      </c>
      <c r="C34" s="3" t="s">
        <v>16</v>
      </c>
      <c r="D34">
        <v>132.77000000000001</v>
      </c>
      <c r="E34">
        <v>47.87</v>
      </c>
      <c r="F34">
        <f>AVERAGE(D30:D34)</f>
        <v>135.65</v>
      </c>
      <c r="G34">
        <f>AVERAGE(E30:E34)</f>
        <v>47.884</v>
      </c>
    </row>
    <row r="35" spans="1:7" x14ac:dyDescent="0.3">
      <c r="A35">
        <v>1</v>
      </c>
      <c r="B35">
        <v>430.58</v>
      </c>
      <c r="C35" s="3" t="s">
        <v>17</v>
      </c>
      <c r="D35">
        <v>142.41</v>
      </c>
      <c r="E35">
        <v>47.93</v>
      </c>
    </row>
    <row r="36" spans="1:7" x14ac:dyDescent="0.3">
      <c r="A36">
        <v>2</v>
      </c>
      <c r="B36">
        <v>430.49</v>
      </c>
      <c r="C36" s="3" t="s">
        <v>17</v>
      </c>
      <c r="D36">
        <v>147.19999999999999</v>
      </c>
      <c r="E36">
        <v>48.06</v>
      </c>
    </row>
    <row r="37" spans="1:7" x14ac:dyDescent="0.3">
      <c r="A37">
        <v>3</v>
      </c>
      <c r="B37">
        <v>432.91</v>
      </c>
      <c r="C37" s="3" t="s">
        <v>17</v>
      </c>
      <c r="D37">
        <v>146.19</v>
      </c>
      <c r="E37">
        <v>48.06</v>
      </c>
    </row>
    <row r="38" spans="1:7" x14ac:dyDescent="0.3">
      <c r="A38">
        <v>4</v>
      </c>
      <c r="B38">
        <v>432.65</v>
      </c>
      <c r="C38" s="3" t="s">
        <v>17</v>
      </c>
      <c r="D38">
        <v>145.93</v>
      </c>
      <c r="E38">
        <v>47.76</v>
      </c>
    </row>
    <row r="39" spans="1:7" x14ac:dyDescent="0.3">
      <c r="A39">
        <v>5</v>
      </c>
      <c r="B39">
        <v>433.64</v>
      </c>
      <c r="C39" s="3" t="s">
        <v>17</v>
      </c>
      <c r="D39">
        <v>147.34</v>
      </c>
      <c r="E39">
        <v>47.79</v>
      </c>
      <c r="F39">
        <f>AVERAGE(D35:D39)</f>
        <v>145.81400000000002</v>
      </c>
      <c r="G39">
        <f>AVERAGE(E35:E39)</f>
        <v>47.92</v>
      </c>
    </row>
    <row r="40" spans="1:7" x14ac:dyDescent="0.3">
      <c r="A40">
        <v>1</v>
      </c>
      <c r="B40">
        <v>431.62</v>
      </c>
      <c r="C40" s="3" t="s">
        <v>18</v>
      </c>
      <c r="D40">
        <v>147.22</v>
      </c>
      <c r="E40">
        <v>47.84</v>
      </c>
    </row>
    <row r="41" spans="1:7" x14ac:dyDescent="0.3">
      <c r="A41">
        <v>2</v>
      </c>
      <c r="B41">
        <v>431.48</v>
      </c>
      <c r="C41" s="3" t="s">
        <v>18</v>
      </c>
      <c r="D41">
        <v>147.84</v>
      </c>
      <c r="E41">
        <v>47.88</v>
      </c>
    </row>
    <row r="42" spans="1:7" x14ac:dyDescent="0.3">
      <c r="A42">
        <v>3</v>
      </c>
      <c r="B42">
        <v>434.3</v>
      </c>
      <c r="C42" s="3" t="s">
        <v>18</v>
      </c>
      <c r="D42">
        <v>148.41999999999999</v>
      </c>
      <c r="E42">
        <v>47.78</v>
      </c>
    </row>
    <row r="43" spans="1:7" x14ac:dyDescent="0.3">
      <c r="A43">
        <v>4</v>
      </c>
      <c r="B43">
        <v>430.47</v>
      </c>
      <c r="C43" s="3" t="s">
        <v>18</v>
      </c>
      <c r="D43">
        <v>148.22999999999999</v>
      </c>
      <c r="E43">
        <v>47.82</v>
      </c>
    </row>
    <row r="44" spans="1:7" x14ac:dyDescent="0.3">
      <c r="A44">
        <v>5</v>
      </c>
      <c r="B44">
        <v>431.37</v>
      </c>
      <c r="C44" s="3" t="s">
        <v>18</v>
      </c>
      <c r="D44">
        <v>148.41</v>
      </c>
      <c r="E44">
        <v>47.77</v>
      </c>
      <c r="F44">
        <f>AVERAGE(D40:D44)</f>
        <v>148.024</v>
      </c>
      <c r="G44">
        <f>AVERAGE(E40:E44)</f>
        <v>47.817999999999998</v>
      </c>
    </row>
    <row r="45" spans="1:7" x14ac:dyDescent="0.3">
      <c r="A45">
        <v>1</v>
      </c>
      <c r="B45">
        <v>432.35</v>
      </c>
      <c r="C45" s="3" t="s">
        <v>19</v>
      </c>
      <c r="D45">
        <v>149.75</v>
      </c>
      <c r="E45">
        <v>47.63</v>
      </c>
    </row>
    <row r="46" spans="1:7" x14ac:dyDescent="0.3">
      <c r="A46">
        <v>2</v>
      </c>
      <c r="B46">
        <v>432.19</v>
      </c>
      <c r="C46" s="3" t="s">
        <v>19</v>
      </c>
      <c r="D46">
        <v>147.62</v>
      </c>
      <c r="E46">
        <v>47.79</v>
      </c>
    </row>
    <row r="47" spans="1:7" x14ac:dyDescent="0.3">
      <c r="A47">
        <v>3</v>
      </c>
      <c r="B47">
        <v>430.64</v>
      </c>
      <c r="C47" s="3" t="s">
        <v>19</v>
      </c>
      <c r="D47">
        <v>149.37</v>
      </c>
      <c r="E47">
        <v>47.8</v>
      </c>
    </row>
    <row r="48" spans="1:7" x14ac:dyDescent="0.3">
      <c r="A48">
        <v>4</v>
      </c>
      <c r="B48">
        <v>432.83</v>
      </c>
      <c r="C48" s="3" t="s">
        <v>19</v>
      </c>
      <c r="D48">
        <v>147.27000000000001</v>
      </c>
      <c r="E48">
        <v>47.79</v>
      </c>
    </row>
    <row r="49" spans="1:10" x14ac:dyDescent="0.3">
      <c r="A49">
        <v>5</v>
      </c>
      <c r="B49">
        <v>432.14</v>
      </c>
      <c r="C49" s="3" t="s">
        <v>19</v>
      </c>
      <c r="D49">
        <v>148.78</v>
      </c>
      <c r="E49">
        <v>47.87</v>
      </c>
      <c r="F49">
        <f>AVERAGE(D45:D49)</f>
        <v>148.55799999999999</v>
      </c>
      <c r="G49">
        <f>AVERAGE(E45:E49)</f>
        <v>47.775999999999996</v>
      </c>
    </row>
    <row r="50" spans="1:10" x14ac:dyDescent="0.3">
      <c r="A50">
        <v>1</v>
      </c>
      <c r="B50">
        <v>430.42</v>
      </c>
      <c r="C50" s="3" t="s">
        <v>20</v>
      </c>
      <c r="D50">
        <v>149.11000000000001</v>
      </c>
      <c r="E50">
        <v>47.92</v>
      </c>
    </row>
    <row r="51" spans="1:10" x14ac:dyDescent="0.3">
      <c r="A51">
        <v>2</v>
      </c>
      <c r="B51">
        <v>431.92</v>
      </c>
      <c r="C51" s="3" t="s">
        <v>20</v>
      </c>
      <c r="D51">
        <v>149.33000000000001</v>
      </c>
      <c r="E51">
        <v>47.77</v>
      </c>
    </row>
    <row r="52" spans="1:10" x14ac:dyDescent="0.3">
      <c r="A52">
        <v>3</v>
      </c>
      <c r="B52">
        <v>434.28</v>
      </c>
      <c r="C52" s="3" t="s">
        <v>20</v>
      </c>
      <c r="D52">
        <v>146.91999999999999</v>
      </c>
      <c r="E52">
        <v>47.68</v>
      </c>
    </row>
    <row r="53" spans="1:10" x14ac:dyDescent="0.3">
      <c r="A53">
        <v>4</v>
      </c>
      <c r="B53">
        <v>432.31</v>
      </c>
      <c r="C53" s="3" t="s">
        <v>20</v>
      </c>
      <c r="D53">
        <v>148.63999999999999</v>
      </c>
      <c r="E53">
        <v>47.79</v>
      </c>
    </row>
    <row r="54" spans="1:10" x14ac:dyDescent="0.3">
      <c r="A54">
        <v>5</v>
      </c>
      <c r="B54">
        <v>431.79</v>
      </c>
      <c r="C54" s="3" t="s">
        <v>20</v>
      </c>
      <c r="D54">
        <v>148.76</v>
      </c>
      <c r="E54">
        <v>47.93</v>
      </c>
      <c r="F54">
        <f>AVERAGE(D50:D54)</f>
        <v>148.55199999999999</v>
      </c>
      <c r="G54">
        <f>AVERAGE(E50:E54)</f>
        <v>47.817999999999998</v>
      </c>
    </row>
    <row r="56" spans="1:10" ht="18" x14ac:dyDescent="0.35">
      <c r="B56" s="4" t="s">
        <v>21</v>
      </c>
    </row>
    <row r="57" spans="1:10" x14ac:dyDescent="0.3">
      <c r="A57" t="s">
        <v>7</v>
      </c>
      <c r="B57" t="s">
        <v>8</v>
      </c>
      <c r="C57" s="3" t="s">
        <v>9</v>
      </c>
      <c r="D57" t="s">
        <v>10</v>
      </c>
      <c r="E57" t="s">
        <v>11</v>
      </c>
    </row>
    <row r="58" spans="1:10" x14ac:dyDescent="0.3">
      <c r="A58">
        <v>1</v>
      </c>
      <c r="B58">
        <v>298.45999999999998</v>
      </c>
      <c r="C58" s="3" t="s">
        <v>12</v>
      </c>
      <c r="D58">
        <v>116.09</v>
      </c>
      <c r="E58">
        <v>39.78</v>
      </c>
      <c r="I58" t="s">
        <v>24</v>
      </c>
      <c r="J58">
        <f>AVERAGE(E58:E102)</f>
        <v>39.76177777777778</v>
      </c>
    </row>
    <row r="59" spans="1:10" x14ac:dyDescent="0.3">
      <c r="A59">
        <v>2</v>
      </c>
      <c r="B59">
        <v>299.33</v>
      </c>
      <c r="C59" s="3" t="s">
        <v>12</v>
      </c>
      <c r="D59">
        <v>115.35</v>
      </c>
      <c r="E59">
        <v>39.619999999999997</v>
      </c>
      <c r="I59" t="s">
        <v>34</v>
      </c>
      <c r="J59">
        <f>J58/15850.3</f>
        <v>2.5085820317456314E-3</v>
      </c>
    </row>
    <row r="60" spans="1:10" x14ac:dyDescent="0.3">
      <c r="A60">
        <v>3</v>
      </c>
      <c r="B60">
        <v>298.69</v>
      </c>
      <c r="C60" s="3" t="s">
        <v>12</v>
      </c>
      <c r="D60">
        <v>116.99</v>
      </c>
      <c r="E60">
        <v>39.770000000000003</v>
      </c>
      <c r="I60" t="s">
        <v>25</v>
      </c>
      <c r="J60">
        <f>MIN(E58:E102)</f>
        <v>39.520000000000003</v>
      </c>
    </row>
    <row r="61" spans="1:10" x14ac:dyDescent="0.3">
      <c r="A61">
        <v>4</v>
      </c>
      <c r="B61">
        <v>298.22000000000003</v>
      </c>
      <c r="C61" s="3" t="s">
        <v>12</v>
      </c>
      <c r="D61">
        <v>115.92</v>
      </c>
      <c r="E61">
        <v>39.83</v>
      </c>
      <c r="I61" t="s">
        <v>26</v>
      </c>
      <c r="J61">
        <f xml:space="preserve"> MAX(E58:E102)</f>
        <v>39.96</v>
      </c>
    </row>
    <row r="62" spans="1:10" x14ac:dyDescent="0.3">
      <c r="A62">
        <v>5</v>
      </c>
      <c r="B62">
        <v>298.31</v>
      </c>
      <c r="C62" s="3" t="s">
        <v>12</v>
      </c>
      <c r="D62">
        <v>115.8</v>
      </c>
      <c r="E62">
        <v>39.93</v>
      </c>
      <c r="F62">
        <f>AVERAGE(D58:D62)</f>
        <v>116.03</v>
      </c>
      <c r="G62">
        <f>AVERAGE(E58:E62)</f>
        <v>39.786000000000001</v>
      </c>
      <c r="I62" t="s">
        <v>27</v>
      </c>
      <c r="J62">
        <f>_xlfn.STDEV.S(E58:E102)</f>
        <v>9.5114497721260308E-2</v>
      </c>
    </row>
    <row r="63" spans="1:10" x14ac:dyDescent="0.3">
      <c r="A63">
        <v>1</v>
      </c>
      <c r="B63">
        <v>299.23</v>
      </c>
      <c r="C63" s="3" t="s">
        <v>13</v>
      </c>
      <c r="D63">
        <v>115.32</v>
      </c>
      <c r="E63">
        <v>39.799999999999997</v>
      </c>
      <c r="I63" t="s">
        <v>33</v>
      </c>
      <c r="J63">
        <f>J59/$J$4</f>
        <v>1.3140817348065119</v>
      </c>
    </row>
    <row r="64" spans="1:10" x14ac:dyDescent="0.3">
      <c r="A64">
        <v>2</v>
      </c>
      <c r="B64">
        <v>299.97000000000003</v>
      </c>
      <c r="C64" s="3" t="s">
        <v>13</v>
      </c>
      <c r="D64">
        <v>116</v>
      </c>
      <c r="E64">
        <v>39.700000000000003</v>
      </c>
      <c r="I64" t="s">
        <v>35</v>
      </c>
      <c r="J64">
        <f>$J$3*J63*0.0493/$J$6</f>
        <v>67012.808364749973</v>
      </c>
    </row>
    <row r="65" spans="1:10" x14ac:dyDescent="0.3">
      <c r="A65">
        <v>3</v>
      </c>
      <c r="B65">
        <v>299.02999999999997</v>
      </c>
      <c r="C65" s="3" t="s">
        <v>13</v>
      </c>
      <c r="D65">
        <v>116.71</v>
      </c>
      <c r="E65">
        <v>39.78</v>
      </c>
      <c r="I65" t="s">
        <v>36</v>
      </c>
      <c r="J65">
        <v>0.61899999999999999</v>
      </c>
    </row>
    <row r="66" spans="1:10" x14ac:dyDescent="0.3">
      <c r="A66">
        <v>4</v>
      </c>
      <c r="B66">
        <v>299.58</v>
      </c>
      <c r="C66" s="3" t="s">
        <v>13</v>
      </c>
      <c r="D66">
        <v>116.23</v>
      </c>
      <c r="E66">
        <v>39.840000000000003</v>
      </c>
      <c r="I66" t="s">
        <v>37</v>
      </c>
      <c r="J66">
        <f>((J59/(J65*$J$5))^2)*(($J$3*(1-($J$2^4)))/2)</f>
        <v>6672.6285382721817</v>
      </c>
    </row>
    <row r="67" spans="1:10" x14ac:dyDescent="0.3">
      <c r="A67">
        <v>5</v>
      </c>
      <c r="B67">
        <v>301.24</v>
      </c>
      <c r="C67" s="3" t="s">
        <v>13</v>
      </c>
      <c r="D67">
        <v>117.04</v>
      </c>
      <c r="E67">
        <v>39.74</v>
      </c>
      <c r="F67">
        <f>AVERAGE(D63:D67)</f>
        <v>116.25999999999999</v>
      </c>
      <c r="G67">
        <f>AVERAGE(E63:E67)</f>
        <v>39.772000000000006</v>
      </c>
    </row>
    <row r="68" spans="1:10" x14ac:dyDescent="0.3">
      <c r="A68">
        <v>1</v>
      </c>
      <c r="B68">
        <v>298.61</v>
      </c>
      <c r="C68" s="3" t="s">
        <v>14</v>
      </c>
      <c r="D68">
        <v>116.2</v>
      </c>
      <c r="E68">
        <v>39.799999999999997</v>
      </c>
    </row>
    <row r="69" spans="1:10" x14ac:dyDescent="0.3">
      <c r="A69">
        <v>2</v>
      </c>
      <c r="B69">
        <v>300.86</v>
      </c>
      <c r="C69" s="3" t="s">
        <v>14</v>
      </c>
      <c r="D69">
        <v>116.95</v>
      </c>
      <c r="E69">
        <v>39.9</v>
      </c>
    </row>
    <row r="70" spans="1:10" x14ac:dyDescent="0.3">
      <c r="A70">
        <v>3</v>
      </c>
      <c r="B70">
        <v>300.06</v>
      </c>
      <c r="C70" s="3" t="s">
        <v>14</v>
      </c>
      <c r="D70">
        <v>115.47</v>
      </c>
      <c r="E70">
        <v>39.799999999999997</v>
      </c>
    </row>
    <row r="71" spans="1:10" x14ac:dyDescent="0.3">
      <c r="A71">
        <v>4</v>
      </c>
      <c r="B71">
        <v>298.43</v>
      </c>
      <c r="C71" s="3" t="s">
        <v>14</v>
      </c>
      <c r="D71">
        <v>117.43</v>
      </c>
      <c r="E71">
        <v>39.89</v>
      </c>
    </row>
    <row r="72" spans="1:10" x14ac:dyDescent="0.3">
      <c r="A72">
        <v>5</v>
      </c>
      <c r="B72">
        <v>300.5</v>
      </c>
      <c r="C72" s="3" t="s">
        <v>14</v>
      </c>
      <c r="D72">
        <v>117.21</v>
      </c>
      <c r="E72">
        <v>39.93</v>
      </c>
      <c r="F72">
        <f>AVERAGE(D68:D72)</f>
        <v>116.652</v>
      </c>
      <c r="G72">
        <f>AVERAGE(E68:E72)</f>
        <v>39.863999999999997</v>
      </c>
    </row>
    <row r="73" spans="1:10" x14ac:dyDescent="0.3">
      <c r="A73">
        <v>1</v>
      </c>
      <c r="B73">
        <v>300.01</v>
      </c>
      <c r="C73" s="3" t="s">
        <v>15</v>
      </c>
      <c r="D73">
        <v>116.16</v>
      </c>
      <c r="E73">
        <v>39.65</v>
      </c>
    </row>
    <row r="74" spans="1:10" x14ac:dyDescent="0.3">
      <c r="A74">
        <v>2</v>
      </c>
      <c r="B74">
        <v>300.62</v>
      </c>
      <c r="C74" s="3" t="s">
        <v>15</v>
      </c>
      <c r="D74">
        <v>116.03</v>
      </c>
      <c r="E74">
        <v>39.79</v>
      </c>
    </row>
    <row r="75" spans="1:10" x14ac:dyDescent="0.3">
      <c r="A75">
        <v>3</v>
      </c>
      <c r="B75">
        <v>299.75</v>
      </c>
      <c r="C75" s="3" t="s">
        <v>15</v>
      </c>
      <c r="D75">
        <v>115.48</v>
      </c>
      <c r="E75">
        <v>39.799999999999997</v>
      </c>
    </row>
    <row r="76" spans="1:10" x14ac:dyDescent="0.3">
      <c r="A76">
        <v>4</v>
      </c>
      <c r="B76">
        <v>299.67</v>
      </c>
      <c r="C76" s="3" t="s">
        <v>15</v>
      </c>
      <c r="D76">
        <v>116.6</v>
      </c>
      <c r="E76">
        <v>39.729999999999997</v>
      </c>
    </row>
    <row r="77" spans="1:10" x14ac:dyDescent="0.3">
      <c r="A77">
        <v>5</v>
      </c>
      <c r="B77">
        <v>300.22000000000003</v>
      </c>
      <c r="C77" s="3" t="s">
        <v>15</v>
      </c>
      <c r="D77">
        <v>117.25</v>
      </c>
      <c r="E77">
        <v>39.74</v>
      </c>
      <c r="F77">
        <f>AVERAGE(D73:D77)</f>
        <v>116.304</v>
      </c>
      <c r="G77">
        <f>AVERAGE(E73:E77)</f>
        <v>39.742000000000004</v>
      </c>
    </row>
    <row r="78" spans="1:10" x14ac:dyDescent="0.3">
      <c r="A78">
        <v>1</v>
      </c>
      <c r="B78">
        <v>300.24</v>
      </c>
      <c r="C78" s="3" t="s">
        <v>16</v>
      </c>
      <c r="D78">
        <v>103.53</v>
      </c>
      <c r="E78">
        <v>39.75</v>
      </c>
    </row>
    <row r="79" spans="1:10" x14ac:dyDescent="0.3">
      <c r="A79">
        <v>2</v>
      </c>
      <c r="B79">
        <v>298.32</v>
      </c>
      <c r="C79" s="3" t="s">
        <v>16</v>
      </c>
      <c r="D79">
        <v>92.58</v>
      </c>
      <c r="E79">
        <v>39.82</v>
      </c>
    </row>
    <row r="80" spans="1:10" x14ac:dyDescent="0.3">
      <c r="A80">
        <v>3</v>
      </c>
      <c r="B80">
        <v>299.5</v>
      </c>
      <c r="C80" s="3" t="s">
        <v>16</v>
      </c>
      <c r="D80">
        <v>91.05</v>
      </c>
      <c r="E80">
        <v>39.770000000000003</v>
      </c>
    </row>
    <row r="81" spans="1:7" x14ac:dyDescent="0.3">
      <c r="A81">
        <v>4</v>
      </c>
      <c r="B81">
        <v>300.63</v>
      </c>
      <c r="C81" s="3" t="s">
        <v>16</v>
      </c>
      <c r="D81">
        <v>91.41</v>
      </c>
      <c r="E81">
        <v>39.700000000000003</v>
      </c>
    </row>
    <row r="82" spans="1:7" x14ac:dyDescent="0.3">
      <c r="A82">
        <v>5</v>
      </c>
      <c r="B82">
        <v>299.45</v>
      </c>
      <c r="C82" s="3" t="s">
        <v>16</v>
      </c>
      <c r="D82">
        <v>91.3</v>
      </c>
      <c r="E82">
        <v>39.75</v>
      </c>
      <c r="F82">
        <f>AVERAGE(D78:D82)</f>
        <v>93.974000000000018</v>
      </c>
      <c r="G82">
        <f>AVERAGE(E78:E82)</f>
        <v>39.758000000000003</v>
      </c>
    </row>
    <row r="83" spans="1:7" x14ac:dyDescent="0.3">
      <c r="A83">
        <v>1</v>
      </c>
      <c r="B83">
        <v>298.3</v>
      </c>
      <c r="C83" s="3" t="s">
        <v>17</v>
      </c>
      <c r="D83">
        <v>90.48</v>
      </c>
      <c r="E83">
        <v>39.75</v>
      </c>
    </row>
    <row r="84" spans="1:7" x14ac:dyDescent="0.3">
      <c r="A84">
        <v>2</v>
      </c>
      <c r="B84">
        <v>299.25</v>
      </c>
      <c r="C84" s="3" t="s">
        <v>17</v>
      </c>
      <c r="D84">
        <v>95.56</v>
      </c>
      <c r="E84">
        <v>39.729999999999997</v>
      </c>
    </row>
    <row r="85" spans="1:7" x14ac:dyDescent="0.3">
      <c r="A85">
        <v>3</v>
      </c>
      <c r="B85">
        <v>299</v>
      </c>
      <c r="C85" s="3" t="s">
        <v>17</v>
      </c>
      <c r="D85">
        <v>98.89</v>
      </c>
      <c r="E85">
        <v>39.700000000000003</v>
      </c>
    </row>
    <row r="86" spans="1:7" x14ac:dyDescent="0.3">
      <c r="A86">
        <v>4</v>
      </c>
      <c r="B86">
        <v>300.12</v>
      </c>
      <c r="C86" s="3" t="s">
        <v>17</v>
      </c>
      <c r="D86">
        <v>101.36</v>
      </c>
      <c r="E86">
        <v>39.72</v>
      </c>
    </row>
    <row r="87" spans="1:7" x14ac:dyDescent="0.3">
      <c r="A87">
        <v>5</v>
      </c>
      <c r="B87">
        <v>297.56</v>
      </c>
      <c r="C87" s="3" t="s">
        <v>17</v>
      </c>
      <c r="D87">
        <v>99.27</v>
      </c>
      <c r="E87">
        <v>39.81</v>
      </c>
      <c r="F87">
        <f>AVERAGE(D83:D87)</f>
        <v>97.111999999999995</v>
      </c>
      <c r="G87">
        <f>AVERAGE(E83:E87)</f>
        <v>39.741999999999997</v>
      </c>
    </row>
    <row r="88" spans="1:7" x14ac:dyDescent="0.3">
      <c r="A88">
        <v>1</v>
      </c>
      <c r="B88">
        <v>297.45</v>
      </c>
      <c r="C88" s="3" t="s">
        <v>18</v>
      </c>
      <c r="D88">
        <v>102.7</v>
      </c>
      <c r="E88">
        <v>39.96</v>
      </c>
    </row>
    <row r="89" spans="1:7" x14ac:dyDescent="0.3">
      <c r="A89">
        <v>2</v>
      </c>
      <c r="B89">
        <v>299.39</v>
      </c>
      <c r="C89" s="3" t="s">
        <v>18</v>
      </c>
      <c r="D89">
        <v>100.68</v>
      </c>
      <c r="E89">
        <v>39.880000000000003</v>
      </c>
    </row>
    <row r="90" spans="1:7" x14ac:dyDescent="0.3">
      <c r="A90">
        <v>3</v>
      </c>
      <c r="B90">
        <v>299.73</v>
      </c>
      <c r="C90" s="3" t="s">
        <v>18</v>
      </c>
      <c r="D90">
        <v>100.24</v>
      </c>
      <c r="E90">
        <v>39.58</v>
      </c>
    </row>
    <row r="91" spans="1:7" x14ac:dyDescent="0.3">
      <c r="A91">
        <v>4</v>
      </c>
      <c r="B91">
        <v>297.43</v>
      </c>
      <c r="C91" s="3" t="s">
        <v>18</v>
      </c>
      <c r="D91">
        <v>102.31</v>
      </c>
      <c r="E91">
        <v>39.76</v>
      </c>
    </row>
    <row r="92" spans="1:7" x14ac:dyDescent="0.3">
      <c r="A92">
        <v>5</v>
      </c>
      <c r="B92">
        <v>298.49</v>
      </c>
      <c r="C92" s="3" t="s">
        <v>18</v>
      </c>
      <c r="D92">
        <v>103.05</v>
      </c>
      <c r="E92">
        <v>39.79</v>
      </c>
      <c r="F92">
        <f>AVERAGE(D88:D92)</f>
        <v>101.79600000000001</v>
      </c>
      <c r="G92">
        <f>AVERAGE(E88:E92)</f>
        <v>39.793999999999997</v>
      </c>
    </row>
    <row r="93" spans="1:7" x14ac:dyDescent="0.3">
      <c r="A93">
        <v>1</v>
      </c>
      <c r="B93">
        <v>298.66000000000003</v>
      </c>
      <c r="C93" s="3" t="s">
        <v>19</v>
      </c>
      <c r="D93">
        <v>103.43</v>
      </c>
      <c r="E93">
        <v>39.86</v>
      </c>
    </row>
    <row r="94" spans="1:7" x14ac:dyDescent="0.3">
      <c r="A94">
        <v>2</v>
      </c>
      <c r="B94">
        <v>298.72000000000003</v>
      </c>
      <c r="C94" s="3" t="s">
        <v>19</v>
      </c>
      <c r="D94">
        <v>102.47</v>
      </c>
      <c r="E94">
        <v>39.75</v>
      </c>
    </row>
    <row r="95" spans="1:7" x14ac:dyDescent="0.3">
      <c r="A95">
        <v>3</v>
      </c>
      <c r="B95">
        <v>300.73</v>
      </c>
      <c r="C95" s="3" t="s">
        <v>19</v>
      </c>
      <c r="D95">
        <v>101.33</v>
      </c>
      <c r="E95">
        <v>39.53</v>
      </c>
    </row>
    <row r="96" spans="1:7" x14ac:dyDescent="0.3">
      <c r="A96">
        <v>4</v>
      </c>
      <c r="B96">
        <v>299.41000000000003</v>
      </c>
      <c r="C96" s="3" t="s">
        <v>19</v>
      </c>
      <c r="D96">
        <v>101.8</v>
      </c>
      <c r="E96">
        <v>39.770000000000003</v>
      </c>
    </row>
    <row r="97" spans="1:10" x14ac:dyDescent="0.3">
      <c r="A97">
        <v>5</v>
      </c>
      <c r="B97">
        <v>298.06</v>
      </c>
      <c r="C97" s="3" t="s">
        <v>19</v>
      </c>
      <c r="D97">
        <v>101.75</v>
      </c>
      <c r="E97">
        <v>39.799999999999997</v>
      </c>
      <c r="F97">
        <f>AVERAGE(D93:D97)</f>
        <v>102.15600000000001</v>
      </c>
      <c r="G97">
        <f>AVERAGE(E93:E97)</f>
        <v>39.741999999999997</v>
      </c>
    </row>
    <row r="98" spans="1:10" x14ac:dyDescent="0.3">
      <c r="A98">
        <v>1</v>
      </c>
      <c r="B98">
        <v>300.19</v>
      </c>
      <c r="C98" s="3" t="s">
        <v>20</v>
      </c>
      <c r="D98">
        <v>103.52</v>
      </c>
      <c r="E98">
        <v>39.67</v>
      </c>
    </row>
    <row r="99" spans="1:10" x14ac:dyDescent="0.3">
      <c r="A99">
        <v>2</v>
      </c>
      <c r="B99">
        <v>300.48</v>
      </c>
      <c r="C99" s="3" t="s">
        <v>20</v>
      </c>
      <c r="D99">
        <v>101.72</v>
      </c>
      <c r="E99">
        <v>39.520000000000003</v>
      </c>
    </row>
    <row r="100" spans="1:10" x14ac:dyDescent="0.3">
      <c r="A100">
        <v>3</v>
      </c>
      <c r="B100">
        <v>301.01</v>
      </c>
      <c r="C100" s="3" t="s">
        <v>20</v>
      </c>
      <c r="D100">
        <v>103.27</v>
      </c>
      <c r="E100">
        <v>39.67</v>
      </c>
    </row>
    <row r="101" spans="1:10" x14ac:dyDescent="0.3">
      <c r="A101">
        <v>4</v>
      </c>
      <c r="B101">
        <v>299.79000000000002</v>
      </c>
      <c r="C101" s="3" t="s">
        <v>20</v>
      </c>
      <c r="D101">
        <v>102.04</v>
      </c>
      <c r="E101">
        <v>39.71</v>
      </c>
    </row>
    <row r="102" spans="1:10" x14ac:dyDescent="0.3">
      <c r="A102">
        <v>5</v>
      </c>
      <c r="B102">
        <v>299.64</v>
      </c>
      <c r="C102" s="3" t="s">
        <v>20</v>
      </c>
      <c r="D102">
        <v>102.05</v>
      </c>
      <c r="E102">
        <v>39.71</v>
      </c>
      <c r="F102">
        <f>AVERAGE(D98:D102)</f>
        <v>102.52000000000001</v>
      </c>
      <c r="G102">
        <f>AVERAGE(E98:E102)</f>
        <v>39.655999999999999</v>
      </c>
    </row>
    <row r="104" spans="1:10" ht="18" x14ac:dyDescent="0.35">
      <c r="B104" s="4" t="s">
        <v>22</v>
      </c>
      <c r="C104" s="5"/>
    </row>
    <row r="105" spans="1:10" x14ac:dyDescent="0.3">
      <c r="A105" t="s">
        <v>7</v>
      </c>
      <c r="B105" t="s">
        <v>8</v>
      </c>
      <c r="C105" s="3" t="s">
        <v>9</v>
      </c>
      <c r="D105" t="s">
        <v>10</v>
      </c>
      <c r="E105" t="s">
        <v>11</v>
      </c>
    </row>
    <row r="106" spans="1:10" x14ac:dyDescent="0.3">
      <c r="A106">
        <v>1</v>
      </c>
      <c r="B106">
        <v>193.42</v>
      </c>
      <c r="C106" s="3" t="s">
        <v>12</v>
      </c>
      <c r="D106">
        <v>73.459999999999994</v>
      </c>
      <c r="E106">
        <v>31.64</v>
      </c>
      <c r="I106" t="s">
        <v>24</v>
      </c>
      <c r="J106">
        <f>AVERAGE(E106:E150)</f>
        <v>31.771777777777775</v>
      </c>
    </row>
    <row r="107" spans="1:10" x14ac:dyDescent="0.3">
      <c r="A107">
        <v>2</v>
      </c>
      <c r="B107">
        <v>192.86</v>
      </c>
      <c r="C107" s="3" t="s">
        <v>12</v>
      </c>
      <c r="D107">
        <v>74.3</v>
      </c>
      <c r="E107">
        <v>31.73</v>
      </c>
      <c r="I107" t="s">
        <v>34</v>
      </c>
      <c r="J107">
        <f>J106/15850.3</f>
        <v>2.0044906265356348E-3</v>
      </c>
    </row>
    <row r="108" spans="1:10" x14ac:dyDescent="0.3">
      <c r="A108">
        <v>3</v>
      </c>
      <c r="B108">
        <v>192.14</v>
      </c>
      <c r="C108" s="3" t="s">
        <v>12</v>
      </c>
      <c r="D108">
        <v>73.94</v>
      </c>
      <c r="E108">
        <v>31.73</v>
      </c>
      <c r="I108" t="s">
        <v>25</v>
      </c>
      <c r="J108">
        <f>MIN(E106:E150)</f>
        <v>31.61</v>
      </c>
    </row>
    <row r="109" spans="1:10" x14ac:dyDescent="0.3">
      <c r="A109">
        <v>4</v>
      </c>
      <c r="B109">
        <v>191.81</v>
      </c>
      <c r="C109" s="3" t="s">
        <v>12</v>
      </c>
      <c r="D109">
        <v>74.92</v>
      </c>
      <c r="E109">
        <v>31.85</v>
      </c>
      <c r="I109" t="s">
        <v>26</v>
      </c>
      <c r="J109">
        <f xml:space="preserve"> MAX(E106:E150)</f>
        <v>31.92</v>
      </c>
    </row>
    <row r="110" spans="1:10" x14ac:dyDescent="0.3">
      <c r="A110">
        <v>5</v>
      </c>
      <c r="B110">
        <v>192.74</v>
      </c>
      <c r="C110" s="3" t="s">
        <v>12</v>
      </c>
      <c r="D110">
        <v>74.67</v>
      </c>
      <c r="E110">
        <v>31.75</v>
      </c>
      <c r="F110">
        <f>AVERAGE(D106:D110)</f>
        <v>74.25800000000001</v>
      </c>
      <c r="G110">
        <f>AVERAGE(E106:E110)</f>
        <v>31.740000000000002</v>
      </c>
      <c r="I110" t="s">
        <v>27</v>
      </c>
      <c r="J110">
        <f>_xlfn.STDEV.S(E106:E150)</f>
        <v>6.8731655036383482E-2</v>
      </c>
    </row>
    <row r="111" spans="1:10" x14ac:dyDescent="0.3">
      <c r="A111">
        <v>1</v>
      </c>
      <c r="B111">
        <v>191.4</v>
      </c>
      <c r="C111" s="3" t="s">
        <v>13</v>
      </c>
      <c r="D111">
        <v>74.56</v>
      </c>
      <c r="E111">
        <v>31.84</v>
      </c>
      <c r="I111" t="s">
        <v>33</v>
      </c>
      <c r="J111">
        <f>J107/$J$4</f>
        <v>1.0500212815796934</v>
      </c>
    </row>
    <row r="112" spans="1:10" x14ac:dyDescent="0.3">
      <c r="A112">
        <v>2</v>
      </c>
      <c r="B112">
        <v>191.99</v>
      </c>
      <c r="C112" s="3" t="s">
        <v>13</v>
      </c>
      <c r="D112">
        <v>74.739999999999995</v>
      </c>
      <c r="E112">
        <v>31.71</v>
      </c>
      <c r="I112" t="s">
        <v>35</v>
      </c>
      <c r="J112">
        <f>$J$3*J111*0.0493/$J$6</f>
        <v>53546.80234694064</v>
      </c>
    </row>
    <row r="113" spans="1:10" x14ac:dyDescent="0.3">
      <c r="A113">
        <v>3</v>
      </c>
      <c r="B113">
        <v>193.35</v>
      </c>
      <c r="C113" s="3" t="s">
        <v>13</v>
      </c>
      <c r="D113">
        <v>74</v>
      </c>
      <c r="E113">
        <v>31.8</v>
      </c>
      <c r="I113" t="s">
        <v>36</v>
      </c>
      <c r="J113">
        <v>0.623</v>
      </c>
    </row>
    <row r="114" spans="1:10" x14ac:dyDescent="0.3">
      <c r="A114">
        <v>4</v>
      </c>
      <c r="B114">
        <v>191.1</v>
      </c>
      <c r="C114" s="3" t="s">
        <v>13</v>
      </c>
      <c r="D114">
        <v>75.12</v>
      </c>
      <c r="E114">
        <v>31.76</v>
      </c>
      <c r="I114" t="s">
        <v>37</v>
      </c>
      <c r="J114">
        <f>((J107/(J113*$J$5))^2)*(($J$3*(1-($J$2^4)))/2)</f>
        <v>4205.8482436378945</v>
      </c>
    </row>
    <row r="115" spans="1:10" x14ac:dyDescent="0.3">
      <c r="A115">
        <v>5</v>
      </c>
      <c r="B115">
        <v>192.28</v>
      </c>
      <c r="C115" s="3" t="s">
        <v>13</v>
      </c>
      <c r="D115">
        <v>74.209999999999994</v>
      </c>
      <c r="E115">
        <v>31.83</v>
      </c>
      <c r="F115">
        <f>AVERAGE(D111:D115)</f>
        <v>74.525999999999996</v>
      </c>
      <c r="G115">
        <f>AVERAGE(E111:E115)</f>
        <v>31.788</v>
      </c>
    </row>
    <row r="116" spans="1:10" x14ac:dyDescent="0.3">
      <c r="A116">
        <v>1</v>
      </c>
      <c r="B116">
        <v>192.23</v>
      </c>
      <c r="C116" s="3" t="s">
        <v>14</v>
      </c>
      <c r="D116">
        <v>74.010000000000005</v>
      </c>
      <c r="E116">
        <v>31.83</v>
      </c>
    </row>
    <row r="117" spans="1:10" x14ac:dyDescent="0.3">
      <c r="A117">
        <v>2</v>
      </c>
      <c r="B117">
        <v>193.43</v>
      </c>
      <c r="C117" s="3" t="s">
        <v>14</v>
      </c>
      <c r="D117">
        <v>73.7</v>
      </c>
      <c r="E117">
        <v>31.76</v>
      </c>
    </row>
    <row r="118" spans="1:10" x14ac:dyDescent="0.3">
      <c r="A118">
        <v>3</v>
      </c>
      <c r="B118">
        <v>192.17</v>
      </c>
      <c r="C118" s="3" t="s">
        <v>14</v>
      </c>
      <c r="D118">
        <v>75.760000000000005</v>
      </c>
      <c r="E118">
        <v>31.74</v>
      </c>
    </row>
    <row r="119" spans="1:10" x14ac:dyDescent="0.3">
      <c r="A119">
        <v>4</v>
      </c>
      <c r="B119">
        <v>192.81</v>
      </c>
      <c r="C119" s="3" t="s">
        <v>14</v>
      </c>
      <c r="D119">
        <v>74.17</v>
      </c>
      <c r="E119">
        <v>31.77</v>
      </c>
    </row>
    <row r="120" spans="1:10" x14ac:dyDescent="0.3">
      <c r="A120">
        <v>5</v>
      </c>
      <c r="B120">
        <v>192.06</v>
      </c>
      <c r="C120" s="3" t="s">
        <v>14</v>
      </c>
      <c r="D120">
        <v>74.37</v>
      </c>
      <c r="E120">
        <v>31.65</v>
      </c>
      <c r="F120">
        <f>AVERAGE(D116:D120)</f>
        <v>74.402000000000015</v>
      </c>
      <c r="G120">
        <f>AVERAGE(E116:E120)</f>
        <v>31.75</v>
      </c>
    </row>
    <row r="121" spans="1:10" x14ac:dyDescent="0.3">
      <c r="A121">
        <v>1</v>
      </c>
      <c r="B121">
        <v>192.51</v>
      </c>
      <c r="C121" s="3" t="s">
        <v>15</v>
      </c>
      <c r="D121">
        <v>75.16</v>
      </c>
      <c r="E121">
        <v>31.75</v>
      </c>
    </row>
    <row r="122" spans="1:10" x14ac:dyDescent="0.3">
      <c r="A122">
        <v>2</v>
      </c>
      <c r="B122">
        <v>192.67</v>
      </c>
      <c r="C122" s="3" t="s">
        <v>15</v>
      </c>
      <c r="D122">
        <v>73.98</v>
      </c>
      <c r="E122">
        <v>31.78</v>
      </c>
    </row>
    <row r="123" spans="1:10" x14ac:dyDescent="0.3">
      <c r="A123">
        <v>3</v>
      </c>
      <c r="B123">
        <v>192.46</v>
      </c>
      <c r="C123" s="3" t="s">
        <v>15</v>
      </c>
      <c r="D123">
        <v>74.53</v>
      </c>
      <c r="E123">
        <v>31.64</v>
      </c>
    </row>
    <row r="124" spans="1:10" x14ac:dyDescent="0.3">
      <c r="A124">
        <v>4</v>
      </c>
      <c r="B124">
        <v>192.27</v>
      </c>
      <c r="C124" s="3" t="s">
        <v>15</v>
      </c>
      <c r="D124">
        <v>74.319999999999993</v>
      </c>
      <c r="E124">
        <v>31.71</v>
      </c>
    </row>
    <row r="125" spans="1:10" x14ac:dyDescent="0.3">
      <c r="A125">
        <v>5</v>
      </c>
      <c r="B125">
        <v>192</v>
      </c>
      <c r="C125" s="3" t="s">
        <v>15</v>
      </c>
      <c r="D125">
        <v>74.45</v>
      </c>
      <c r="E125">
        <v>31.82</v>
      </c>
      <c r="F125">
        <f>AVERAGE(D121:D125)</f>
        <v>74.488</v>
      </c>
      <c r="G125">
        <f>AVERAGE(E121:E125)</f>
        <v>31.74</v>
      </c>
    </row>
    <row r="126" spans="1:10" x14ac:dyDescent="0.3">
      <c r="A126">
        <v>1</v>
      </c>
      <c r="B126">
        <v>192.36</v>
      </c>
      <c r="C126" s="3" t="s">
        <v>16</v>
      </c>
      <c r="D126">
        <v>59.62</v>
      </c>
      <c r="E126">
        <v>31.73</v>
      </c>
    </row>
    <row r="127" spans="1:10" x14ac:dyDescent="0.3">
      <c r="A127">
        <v>2</v>
      </c>
      <c r="B127">
        <v>191.94</v>
      </c>
      <c r="C127" s="3" t="s">
        <v>16</v>
      </c>
      <c r="D127">
        <v>58.18</v>
      </c>
      <c r="E127">
        <v>31.77</v>
      </c>
    </row>
    <row r="128" spans="1:10" x14ac:dyDescent="0.3">
      <c r="A128">
        <v>3</v>
      </c>
      <c r="B128">
        <v>191.32</v>
      </c>
      <c r="C128" s="3" t="s">
        <v>16</v>
      </c>
      <c r="D128">
        <v>58.29</v>
      </c>
      <c r="E128">
        <v>31.79</v>
      </c>
    </row>
    <row r="129" spans="1:7" x14ac:dyDescent="0.3">
      <c r="A129">
        <v>4</v>
      </c>
      <c r="B129">
        <v>192.65</v>
      </c>
      <c r="C129" s="3" t="s">
        <v>16</v>
      </c>
      <c r="D129">
        <v>58.23</v>
      </c>
      <c r="E129">
        <v>31.69</v>
      </c>
    </row>
    <row r="130" spans="1:7" x14ac:dyDescent="0.3">
      <c r="A130">
        <v>5</v>
      </c>
      <c r="B130">
        <v>191.93</v>
      </c>
      <c r="C130" s="3" t="s">
        <v>16</v>
      </c>
      <c r="D130">
        <v>58.1</v>
      </c>
      <c r="E130">
        <v>31.75</v>
      </c>
      <c r="F130">
        <f>AVERAGE(D126:D130)</f>
        <v>58.484000000000002</v>
      </c>
      <c r="G130">
        <f>AVERAGE(E126:E130)</f>
        <v>31.745999999999999</v>
      </c>
    </row>
    <row r="131" spans="1:7" x14ac:dyDescent="0.3">
      <c r="A131">
        <v>1</v>
      </c>
      <c r="B131">
        <v>192.18</v>
      </c>
      <c r="C131" s="3" t="s">
        <v>17</v>
      </c>
      <c r="D131">
        <v>61.98</v>
      </c>
      <c r="E131">
        <v>31.87</v>
      </c>
    </row>
    <row r="132" spans="1:7" x14ac:dyDescent="0.3">
      <c r="A132">
        <v>2</v>
      </c>
      <c r="B132">
        <v>191.99</v>
      </c>
      <c r="C132" s="3" t="s">
        <v>17</v>
      </c>
      <c r="D132">
        <v>63.96</v>
      </c>
      <c r="E132">
        <v>31.75</v>
      </c>
    </row>
    <row r="133" spans="1:7" x14ac:dyDescent="0.3">
      <c r="A133">
        <v>3</v>
      </c>
      <c r="B133">
        <v>191.18</v>
      </c>
      <c r="C133" s="3" t="s">
        <v>17</v>
      </c>
      <c r="D133">
        <v>64.17</v>
      </c>
      <c r="E133">
        <v>31.71</v>
      </c>
    </row>
    <row r="134" spans="1:7" x14ac:dyDescent="0.3">
      <c r="A134">
        <v>4</v>
      </c>
      <c r="B134">
        <v>192.25</v>
      </c>
      <c r="C134" s="3" t="s">
        <v>17</v>
      </c>
      <c r="D134">
        <v>63.62</v>
      </c>
      <c r="E134">
        <v>31.75</v>
      </c>
    </row>
    <row r="135" spans="1:7" x14ac:dyDescent="0.3">
      <c r="A135">
        <v>5</v>
      </c>
      <c r="B135">
        <v>192.73</v>
      </c>
      <c r="C135" s="3" t="s">
        <v>17</v>
      </c>
      <c r="D135">
        <v>64.069999999999993</v>
      </c>
      <c r="E135">
        <v>31.82</v>
      </c>
      <c r="F135">
        <f>AVERAGE(D131:D135)</f>
        <v>63.56</v>
      </c>
      <c r="G135">
        <f>AVERAGE(E131:E135)</f>
        <v>31.78</v>
      </c>
    </row>
    <row r="136" spans="1:7" x14ac:dyDescent="0.3">
      <c r="A136">
        <v>1</v>
      </c>
      <c r="B136">
        <v>192.55</v>
      </c>
      <c r="C136" s="3" t="s">
        <v>18</v>
      </c>
      <c r="D136">
        <v>64.319999999999993</v>
      </c>
      <c r="E136">
        <v>31.82</v>
      </c>
    </row>
    <row r="137" spans="1:7" x14ac:dyDescent="0.3">
      <c r="A137">
        <v>2</v>
      </c>
      <c r="B137">
        <v>191.86</v>
      </c>
      <c r="C137" s="3" t="s">
        <v>18</v>
      </c>
      <c r="D137">
        <v>65.38</v>
      </c>
      <c r="E137">
        <v>31.83</v>
      </c>
    </row>
    <row r="138" spans="1:7" x14ac:dyDescent="0.3">
      <c r="A138">
        <v>3</v>
      </c>
      <c r="B138">
        <v>192.31</v>
      </c>
      <c r="C138" s="3" t="s">
        <v>18</v>
      </c>
      <c r="D138">
        <v>65.34</v>
      </c>
      <c r="E138">
        <v>31.89</v>
      </c>
    </row>
    <row r="139" spans="1:7" x14ac:dyDescent="0.3">
      <c r="A139">
        <v>4</v>
      </c>
      <c r="B139">
        <v>192.7</v>
      </c>
      <c r="C139" s="3" t="s">
        <v>18</v>
      </c>
      <c r="D139">
        <v>65.11</v>
      </c>
      <c r="E139">
        <v>31.8</v>
      </c>
    </row>
    <row r="140" spans="1:7" x14ac:dyDescent="0.3">
      <c r="A140">
        <v>5</v>
      </c>
      <c r="B140">
        <v>191.5</v>
      </c>
      <c r="C140" s="3" t="s">
        <v>18</v>
      </c>
      <c r="D140">
        <v>64.98</v>
      </c>
      <c r="E140">
        <v>31.84</v>
      </c>
      <c r="F140">
        <f>AVERAGE(D136:D140)</f>
        <v>65.025999999999996</v>
      </c>
      <c r="G140">
        <f>AVERAGE(E136:E140)</f>
        <v>31.835999999999995</v>
      </c>
    </row>
    <row r="141" spans="1:7" x14ac:dyDescent="0.3">
      <c r="A141">
        <v>1</v>
      </c>
      <c r="B141">
        <v>192.79</v>
      </c>
      <c r="C141" s="3" t="s">
        <v>19</v>
      </c>
      <c r="D141">
        <v>66.22</v>
      </c>
      <c r="E141">
        <v>31.8</v>
      </c>
    </row>
    <row r="142" spans="1:7" x14ac:dyDescent="0.3">
      <c r="A142">
        <v>2</v>
      </c>
      <c r="B142">
        <v>192.6</v>
      </c>
      <c r="C142" s="3" t="s">
        <v>19</v>
      </c>
      <c r="D142">
        <v>65.41</v>
      </c>
      <c r="E142">
        <v>31.82</v>
      </c>
    </row>
    <row r="143" spans="1:7" x14ac:dyDescent="0.3">
      <c r="A143">
        <v>3</v>
      </c>
      <c r="B143">
        <v>191.13</v>
      </c>
      <c r="C143" s="3" t="s">
        <v>19</v>
      </c>
      <c r="D143">
        <v>65.55</v>
      </c>
      <c r="E143">
        <v>31.86</v>
      </c>
    </row>
    <row r="144" spans="1:7" x14ac:dyDescent="0.3">
      <c r="A144">
        <v>4</v>
      </c>
      <c r="B144">
        <v>192.57</v>
      </c>
      <c r="C144" s="3" t="s">
        <v>19</v>
      </c>
      <c r="D144">
        <v>66.540000000000006</v>
      </c>
      <c r="E144">
        <v>31.92</v>
      </c>
    </row>
    <row r="145" spans="1:10" x14ac:dyDescent="0.3">
      <c r="A145">
        <v>5</v>
      </c>
      <c r="B145">
        <v>192.74</v>
      </c>
      <c r="C145" s="3" t="s">
        <v>19</v>
      </c>
      <c r="D145">
        <v>64.680000000000007</v>
      </c>
      <c r="E145">
        <v>31.77</v>
      </c>
      <c r="F145">
        <f>AVERAGE(D141:D145)</f>
        <v>65.680000000000007</v>
      </c>
      <c r="G145">
        <f>AVERAGE(E141:E145)</f>
        <v>31.834000000000003</v>
      </c>
    </row>
    <row r="146" spans="1:10" x14ac:dyDescent="0.3">
      <c r="A146">
        <v>1</v>
      </c>
      <c r="B146">
        <v>191.68</v>
      </c>
      <c r="C146" s="3" t="s">
        <v>20</v>
      </c>
      <c r="D146">
        <v>65.650000000000006</v>
      </c>
      <c r="E146">
        <v>31.85</v>
      </c>
    </row>
    <row r="147" spans="1:10" x14ac:dyDescent="0.3">
      <c r="A147">
        <v>2</v>
      </c>
      <c r="B147">
        <v>191.9</v>
      </c>
      <c r="C147" s="3" t="s">
        <v>20</v>
      </c>
      <c r="D147">
        <v>65.28</v>
      </c>
      <c r="E147">
        <v>31.78</v>
      </c>
    </row>
    <row r="148" spans="1:10" x14ac:dyDescent="0.3">
      <c r="A148">
        <v>3</v>
      </c>
      <c r="B148">
        <v>192.7</v>
      </c>
      <c r="C148" s="3" t="s">
        <v>20</v>
      </c>
      <c r="D148">
        <v>65.67</v>
      </c>
      <c r="E148">
        <v>31.7</v>
      </c>
    </row>
    <row r="149" spans="1:10" x14ac:dyDescent="0.3">
      <c r="A149">
        <v>4</v>
      </c>
      <c r="B149">
        <v>193.66</v>
      </c>
      <c r="C149" s="3" t="s">
        <v>20</v>
      </c>
      <c r="D149">
        <v>64.78</v>
      </c>
      <c r="E149">
        <v>31.72</v>
      </c>
    </row>
    <row r="150" spans="1:10" x14ac:dyDescent="0.3">
      <c r="A150">
        <v>5</v>
      </c>
      <c r="B150">
        <v>193.96</v>
      </c>
      <c r="C150" s="3" t="s">
        <v>20</v>
      </c>
      <c r="D150">
        <v>65.06</v>
      </c>
      <c r="E150">
        <v>31.61</v>
      </c>
      <c r="F150">
        <f>AVERAGE(D146:D150)</f>
        <v>65.287999999999997</v>
      </c>
      <c r="G150">
        <f>AVERAGE(E146:E150)</f>
        <v>31.731999999999999</v>
      </c>
    </row>
    <row r="152" spans="1:10" ht="18" x14ac:dyDescent="0.35">
      <c r="B152" s="4" t="s">
        <v>23</v>
      </c>
    </row>
    <row r="153" spans="1:10" x14ac:dyDescent="0.3">
      <c r="A153" t="s">
        <v>7</v>
      </c>
      <c r="B153" t="s">
        <v>8</v>
      </c>
      <c r="C153" s="3" t="s">
        <v>9</v>
      </c>
      <c r="D153" t="s">
        <v>10</v>
      </c>
      <c r="E153" t="s">
        <v>11</v>
      </c>
    </row>
    <row r="154" spans="1:10" x14ac:dyDescent="0.3">
      <c r="A154">
        <v>1</v>
      </c>
      <c r="B154">
        <v>107.44</v>
      </c>
      <c r="C154" s="3" t="s">
        <v>12</v>
      </c>
      <c r="D154">
        <v>39.93</v>
      </c>
      <c r="E154">
        <v>23.8</v>
      </c>
      <c r="I154" t="s">
        <v>24</v>
      </c>
      <c r="J154">
        <f>AVERAGE(E154:E198)</f>
        <v>23.758444444444446</v>
      </c>
    </row>
    <row r="155" spans="1:10" x14ac:dyDescent="0.3">
      <c r="A155">
        <v>2</v>
      </c>
      <c r="B155">
        <v>108.14</v>
      </c>
      <c r="C155" s="3" t="s">
        <v>12</v>
      </c>
      <c r="D155">
        <v>41.37</v>
      </c>
      <c r="E155">
        <v>23.76</v>
      </c>
      <c r="I155" t="s">
        <v>34</v>
      </c>
      <c r="J155">
        <f>J154/15850.3</f>
        <v>1.4989271145936952E-3</v>
      </c>
    </row>
    <row r="156" spans="1:10" x14ac:dyDescent="0.3">
      <c r="A156">
        <v>3</v>
      </c>
      <c r="B156">
        <v>108.61</v>
      </c>
      <c r="C156" s="3" t="s">
        <v>12</v>
      </c>
      <c r="D156">
        <v>41.22</v>
      </c>
      <c r="E156">
        <v>23.72</v>
      </c>
      <c r="I156" t="s">
        <v>25</v>
      </c>
      <c r="J156">
        <f>MIN(E154:E198)</f>
        <v>23.63</v>
      </c>
    </row>
    <row r="157" spans="1:10" x14ac:dyDescent="0.3">
      <c r="A157">
        <v>4</v>
      </c>
      <c r="B157">
        <v>108.03</v>
      </c>
      <c r="C157" s="3" t="s">
        <v>12</v>
      </c>
      <c r="D157">
        <v>41.67</v>
      </c>
      <c r="E157">
        <v>23.72</v>
      </c>
      <c r="I157" t="s">
        <v>26</v>
      </c>
      <c r="J157">
        <f xml:space="preserve"> MAX(E154:E198)</f>
        <v>23.89</v>
      </c>
    </row>
    <row r="158" spans="1:10" x14ac:dyDescent="0.3">
      <c r="A158">
        <v>5</v>
      </c>
      <c r="B158">
        <v>107.81</v>
      </c>
      <c r="C158" s="3" t="s">
        <v>12</v>
      </c>
      <c r="D158">
        <v>41.53</v>
      </c>
      <c r="E158">
        <v>23.72</v>
      </c>
      <c r="F158">
        <f>AVERAGE(D154:D158)</f>
        <v>41.143999999999998</v>
      </c>
      <c r="G158">
        <f>AVERAGE(E154:E158)</f>
        <v>23.744</v>
      </c>
      <c r="I158" t="s">
        <v>27</v>
      </c>
      <c r="J158">
        <f>_xlfn.STDEV.S(E154:E198)</f>
        <v>5.9389146374322618E-2</v>
      </c>
    </row>
    <row r="159" spans="1:10" x14ac:dyDescent="0.3">
      <c r="A159">
        <v>1</v>
      </c>
      <c r="B159">
        <v>107.69</v>
      </c>
      <c r="C159" s="3" t="s">
        <v>13</v>
      </c>
      <c r="D159">
        <v>41.03</v>
      </c>
      <c r="E159">
        <v>23.74</v>
      </c>
      <c r="I159" t="s">
        <v>33</v>
      </c>
      <c r="J159">
        <f>J155/$J$4</f>
        <v>0.78518968810565481</v>
      </c>
    </row>
    <row r="160" spans="1:10" x14ac:dyDescent="0.3">
      <c r="A160">
        <v>2</v>
      </c>
      <c r="B160">
        <v>108.28</v>
      </c>
      <c r="C160" s="3" t="s">
        <v>13</v>
      </c>
      <c r="D160">
        <v>41.5</v>
      </c>
      <c r="E160">
        <v>23.63</v>
      </c>
      <c r="I160" t="s">
        <v>35</v>
      </c>
      <c r="J160">
        <f>$J$3*J159*0.0493/$J$6</f>
        <v>40041.471321987134</v>
      </c>
    </row>
    <row r="161" spans="1:10" x14ac:dyDescent="0.3">
      <c r="A161">
        <v>3</v>
      </c>
      <c r="B161">
        <v>108.41</v>
      </c>
      <c r="C161" s="3" t="s">
        <v>13</v>
      </c>
      <c r="D161">
        <v>41.42</v>
      </c>
      <c r="E161">
        <v>23.68</v>
      </c>
      <c r="I161" t="s">
        <v>36</v>
      </c>
      <c r="J161">
        <v>0.626</v>
      </c>
    </row>
    <row r="162" spans="1:10" x14ac:dyDescent="0.3">
      <c r="A162">
        <v>4</v>
      </c>
      <c r="B162">
        <v>108.18</v>
      </c>
      <c r="C162" s="3" t="s">
        <v>13</v>
      </c>
      <c r="D162">
        <v>41.86</v>
      </c>
      <c r="E162">
        <v>23.81</v>
      </c>
      <c r="I162" t="s">
        <v>37</v>
      </c>
      <c r="J162">
        <f>((J155/(J161*$J$5))^2)*(($J$3*(1-($J$2^4)))/2)</f>
        <v>2329.345968195044</v>
      </c>
    </row>
    <row r="163" spans="1:10" x14ac:dyDescent="0.3">
      <c r="A163">
        <v>5</v>
      </c>
      <c r="B163">
        <v>107.37</v>
      </c>
      <c r="C163" s="3" t="s">
        <v>13</v>
      </c>
      <c r="D163">
        <v>41.43</v>
      </c>
      <c r="E163">
        <v>23.76</v>
      </c>
      <c r="F163">
        <f>AVERAGE(D159:D163)</f>
        <v>41.448</v>
      </c>
      <c r="G163">
        <f>AVERAGE(E159:E163)</f>
        <v>23.724</v>
      </c>
    </row>
    <row r="164" spans="1:10" x14ac:dyDescent="0.3">
      <c r="A164">
        <v>1</v>
      </c>
      <c r="B164">
        <v>108.43</v>
      </c>
      <c r="C164" s="3" t="s">
        <v>14</v>
      </c>
      <c r="D164">
        <v>41.48</v>
      </c>
      <c r="E164">
        <v>23.71</v>
      </c>
    </row>
    <row r="165" spans="1:10" x14ac:dyDescent="0.3">
      <c r="A165">
        <v>2</v>
      </c>
      <c r="B165">
        <v>108.41</v>
      </c>
      <c r="C165" s="3" t="s">
        <v>14</v>
      </c>
      <c r="D165">
        <v>41.82</v>
      </c>
      <c r="E165">
        <v>23.76</v>
      </c>
    </row>
    <row r="166" spans="1:10" x14ac:dyDescent="0.3">
      <c r="A166">
        <v>3</v>
      </c>
      <c r="B166">
        <v>107.94</v>
      </c>
      <c r="C166" s="3" t="s">
        <v>14</v>
      </c>
      <c r="D166">
        <v>41.65</v>
      </c>
      <c r="E166">
        <v>23.74</v>
      </c>
    </row>
    <row r="167" spans="1:10" x14ac:dyDescent="0.3">
      <c r="A167">
        <v>4</v>
      </c>
      <c r="B167">
        <v>107.88</v>
      </c>
      <c r="C167" s="3" t="s">
        <v>14</v>
      </c>
      <c r="D167">
        <v>42.06</v>
      </c>
      <c r="E167">
        <v>23.84</v>
      </c>
    </row>
    <row r="168" spans="1:10" x14ac:dyDescent="0.3">
      <c r="A168">
        <v>5</v>
      </c>
      <c r="B168">
        <v>108.55</v>
      </c>
      <c r="C168" s="3" t="s">
        <v>14</v>
      </c>
      <c r="D168">
        <v>41.92</v>
      </c>
      <c r="E168">
        <v>23.89</v>
      </c>
      <c r="F168">
        <f>AVERAGE(D164:D168)</f>
        <v>41.786000000000001</v>
      </c>
      <c r="G168">
        <f>AVERAGE(E164:E168)</f>
        <v>23.788</v>
      </c>
    </row>
    <row r="169" spans="1:10" x14ac:dyDescent="0.3">
      <c r="A169">
        <v>1</v>
      </c>
      <c r="B169">
        <v>107.79</v>
      </c>
      <c r="C169" s="3" t="s">
        <v>15</v>
      </c>
      <c r="D169">
        <v>41.54</v>
      </c>
      <c r="E169">
        <v>23.82</v>
      </c>
    </row>
    <row r="170" spans="1:10" x14ac:dyDescent="0.3">
      <c r="A170">
        <v>2</v>
      </c>
      <c r="B170">
        <v>108.23</v>
      </c>
      <c r="C170" s="3" t="s">
        <v>15</v>
      </c>
      <c r="D170">
        <v>41.38</v>
      </c>
      <c r="E170">
        <v>23.73</v>
      </c>
    </row>
    <row r="171" spans="1:10" x14ac:dyDescent="0.3">
      <c r="A171">
        <v>3</v>
      </c>
      <c r="B171">
        <v>107.98</v>
      </c>
      <c r="C171" s="3" t="s">
        <v>15</v>
      </c>
      <c r="D171">
        <v>41.66</v>
      </c>
      <c r="E171">
        <v>23.7</v>
      </c>
    </row>
    <row r="172" spans="1:10" x14ac:dyDescent="0.3">
      <c r="A172">
        <v>4</v>
      </c>
      <c r="B172">
        <v>107.83</v>
      </c>
      <c r="C172" s="3" t="s">
        <v>15</v>
      </c>
      <c r="D172">
        <v>41.61</v>
      </c>
      <c r="E172">
        <v>23.75</v>
      </c>
    </row>
    <row r="173" spans="1:10" x14ac:dyDescent="0.3">
      <c r="A173">
        <v>5</v>
      </c>
      <c r="B173">
        <v>107.42</v>
      </c>
      <c r="C173" s="3" t="s">
        <v>15</v>
      </c>
      <c r="D173">
        <v>41.74</v>
      </c>
      <c r="E173">
        <v>23.72</v>
      </c>
      <c r="F173">
        <f>AVERAGE(D169:D173)</f>
        <v>41.585999999999999</v>
      </c>
      <c r="G173">
        <f>AVERAGE(E169:E173)</f>
        <v>23.744</v>
      </c>
    </row>
    <row r="174" spans="1:10" x14ac:dyDescent="0.3">
      <c r="A174">
        <v>1</v>
      </c>
      <c r="B174">
        <v>108.41</v>
      </c>
      <c r="C174" s="3" t="s">
        <v>16</v>
      </c>
      <c r="D174">
        <v>33.61</v>
      </c>
      <c r="E174">
        <v>23.79</v>
      </c>
    </row>
    <row r="175" spans="1:10" x14ac:dyDescent="0.3">
      <c r="A175">
        <v>2</v>
      </c>
      <c r="B175">
        <v>106.85</v>
      </c>
      <c r="C175" s="3" t="s">
        <v>16</v>
      </c>
      <c r="D175">
        <v>33.340000000000003</v>
      </c>
      <c r="E175">
        <v>23.87</v>
      </c>
    </row>
    <row r="176" spans="1:10" x14ac:dyDescent="0.3">
      <c r="A176">
        <v>3</v>
      </c>
      <c r="B176">
        <v>108</v>
      </c>
      <c r="C176" s="3" t="s">
        <v>16</v>
      </c>
      <c r="D176">
        <v>32.69</v>
      </c>
      <c r="E176">
        <v>23.84</v>
      </c>
    </row>
    <row r="177" spans="1:7" x14ac:dyDescent="0.3">
      <c r="A177">
        <v>4</v>
      </c>
      <c r="B177">
        <v>108.42</v>
      </c>
      <c r="C177" s="3" t="s">
        <v>16</v>
      </c>
      <c r="D177">
        <v>33.29</v>
      </c>
      <c r="E177">
        <v>23.74</v>
      </c>
    </row>
    <row r="178" spans="1:7" x14ac:dyDescent="0.3">
      <c r="A178">
        <v>5</v>
      </c>
      <c r="B178">
        <v>108.55</v>
      </c>
      <c r="C178" s="3" t="s">
        <v>16</v>
      </c>
      <c r="D178">
        <v>32.61</v>
      </c>
      <c r="E178">
        <v>23.8</v>
      </c>
      <c r="F178">
        <f>AVERAGE(D174:D178)</f>
        <v>33.108000000000004</v>
      </c>
      <c r="G178">
        <f>AVERAGE(E174:E178)</f>
        <v>23.808</v>
      </c>
    </row>
    <row r="179" spans="1:7" x14ac:dyDescent="0.3">
      <c r="A179">
        <v>1</v>
      </c>
      <c r="B179">
        <v>107.22</v>
      </c>
      <c r="C179" s="3" t="s">
        <v>17</v>
      </c>
      <c r="D179">
        <v>36.11</v>
      </c>
      <c r="E179">
        <v>23.79</v>
      </c>
    </row>
    <row r="180" spans="1:7" x14ac:dyDescent="0.3">
      <c r="A180">
        <v>2</v>
      </c>
      <c r="B180">
        <v>108.32</v>
      </c>
      <c r="C180" s="3" t="s">
        <v>17</v>
      </c>
      <c r="D180">
        <v>35.869999999999997</v>
      </c>
      <c r="E180">
        <v>23.78</v>
      </c>
    </row>
    <row r="181" spans="1:7" x14ac:dyDescent="0.3">
      <c r="A181">
        <v>3</v>
      </c>
      <c r="B181">
        <v>108.16</v>
      </c>
      <c r="C181" s="3" t="s">
        <v>17</v>
      </c>
      <c r="D181">
        <v>35.76</v>
      </c>
      <c r="E181">
        <v>23.67</v>
      </c>
    </row>
    <row r="182" spans="1:7" x14ac:dyDescent="0.3">
      <c r="A182">
        <v>4</v>
      </c>
      <c r="B182">
        <v>107.72</v>
      </c>
      <c r="C182" s="3" t="s">
        <v>17</v>
      </c>
      <c r="D182">
        <v>36.28</v>
      </c>
      <c r="E182">
        <v>23.69</v>
      </c>
    </row>
    <row r="183" spans="1:7" x14ac:dyDescent="0.3">
      <c r="A183">
        <v>5</v>
      </c>
      <c r="B183">
        <v>107.63</v>
      </c>
      <c r="C183" s="3" t="s">
        <v>17</v>
      </c>
      <c r="D183">
        <v>36</v>
      </c>
      <c r="E183">
        <v>23.82</v>
      </c>
      <c r="F183">
        <f>AVERAGE(D179:D183)</f>
        <v>36.003999999999998</v>
      </c>
      <c r="G183">
        <f>AVERAGE(E179:E183)</f>
        <v>23.75</v>
      </c>
    </row>
    <row r="184" spans="1:7" x14ac:dyDescent="0.3">
      <c r="A184">
        <v>1</v>
      </c>
      <c r="B184">
        <v>107.43</v>
      </c>
      <c r="C184" s="3" t="s">
        <v>18</v>
      </c>
      <c r="D184">
        <v>36.869999999999997</v>
      </c>
      <c r="E184">
        <v>23.74</v>
      </c>
    </row>
    <row r="185" spans="1:7" x14ac:dyDescent="0.3">
      <c r="A185">
        <v>2</v>
      </c>
      <c r="B185">
        <v>106.93</v>
      </c>
      <c r="C185" s="3" t="s">
        <v>18</v>
      </c>
      <c r="D185">
        <v>36.69</v>
      </c>
      <c r="E185">
        <v>23.83</v>
      </c>
    </row>
    <row r="186" spans="1:7" x14ac:dyDescent="0.3">
      <c r="A186">
        <v>3</v>
      </c>
      <c r="B186">
        <v>107.44</v>
      </c>
      <c r="C186" s="3" t="s">
        <v>18</v>
      </c>
      <c r="D186">
        <v>37.24</v>
      </c>
      <c r="E186">
        <v>23.82</v>
      </c>
    </row>
    <row r="187" spans="1:7" x14ac:dyDescent="0.3">
      <c r="A187">
        <v>4</v>
      </c>
      <c r="B187">
        <v>107.75</v>
      </c>
      <c r="C187" s="3" t="s">
        <v>18</v>
      </c>
      <c r="D187">
        <v>36.770000000000003</v>
      </c>
      <c r="E187">
        <v>23.69</v>
      </c>
    </row>
    <row r="188" spans="1:7" x14ac:dyDescent="0.3">
      <c r="A188">
        <v>5</v>
      </c>
      <c r="B188">
        <v>107.8</v>
      </c>
      <c r="C188" s="3" t="s">
        <v>18</v>
      </c>
      <c r="D188">
        <v>36.340000000000003</v>
      </c>
      <c r="E188">
        <v>23.73</v>
      </c>
      <c r="F188">
        <f>AVERAGE(D184:D188)</f>
        <v>36.782000000000004</v>
      </c>
      <c r="G188">
        <f>AVERAGE(E184:E188)</f>
        <v>23.761999999999997</v>
      </c>
    </row>
    <row r="189" spans="1:7" x14ac:dyDescent="0.3">
      <c r="A189">
        <v>1</v>
      </c>
      <c r="B189">
        <v>108.67</v>
      </c>
      <c r="C189" s="3" t="s">
        <v>19</v>
      </c>
      <c r="D189">
        <v>36.979999999999997</v>
      </c>
      <c r="E189">
        <v>23.72</v>
      </c>
    </row>
    <row r="190" spans="1:7" x14ac:dyDescent="0.3">
      <c r="A190">
        <v>2</v>
      </c>
      <c r="B190">
        <v>107.91</v>
      </c>
      <c r="C190" s="3" t="s">
        <v>19</v>
      </c>
      <c r="D190">
        <v>36.979999999999997</v>
      </c>
      <c r="E190">
        <v>23.69</v>
      </c>
    </row>
    <row r="191" spans="1:7" x14ac:dyDescent="0.3">
      <c r="A191">
        <v>3</v>
      </c>
      <c r="B191">
        <v>107.51</v>
      </c>
      <c r="C191" s="3" t="s">
        <v>19</v>
      </c>
      <c r="D191">
        <v>36.9</v>
      </c>
      <c r="E191">
        <v>23.8</v>
      </c>
    </row>
    <row r="192" spans="1:7" x14ac:dyDescent="0.3">
      <c r="A192">
        <v>4</v>
      </c>
      <c r="B192">
        <v>108.57</v>
      </c>
      <c r="C192" s="3" t="s">
        <v>19</v>
      </c>
      <c r="D192">
        <v>36.630000000000003</v>
      </c>
      <c r="E192">
        <v>23.76</v>
      </c>
    </row>
    <row r="193" spans="1:7" x14ac:dyDescent="0.3">
      <c r="A193">
        <v>5</v>
      </c>
      <c r="B193">
        <v>108.14</v>
      </c>
      <c r="C193" s="3" t="s">
        <v>19</v>
      </c>
      <c r="D193">
        <v>36.82</v>
      </c>
      <c r="E193">
        <v>23.78</v>
      </c>
      <c r="F193">
        <f>AVERAGE(D189:D193)</f>
        <v>36.861999999999995</v>
      </c>
      <c r="G193">
        <f>AVERAGE(E189:E193)</f>
        <v>23.75</v>
      </c>
    </row>
    <row r="194" spans="1:7" x14ac:dyDescent="0.3">
      <c r="A194">
        <v>1</v>
      </c>
      <c r="B194">
        <v>108.33</v>
      </c>
      <c r="C194" s="3" t="s">
        <v>20</v>
      </c>
      <c r="D194">
        <v>36.76</v>
      </c>
      <c r="E194">
        <v>23.63</v>
      </c>
    </row>
    <row r="195" spans="1:7" x14ac:dyDescent="0.3">
      <c r="A195">
        <v>2</v>
      </c>
      <c r="B195">
        <v>107.66</v>
      </c>
      <c r="C195" s="3" t="s">
        <v>20</v>
      </c>
      <c r="D195">
        <v>36.9</v>
      </c>
      <c r="E195">
        <v>23.8</v>
      </c>
    </row>
    <row r="196" spans="1:7" x14ac:dyDescent="0.3">
      <c r="A196">
        <v>3</v>
      </c>
      <c r="B196">
        <v>107.5</v>
      </c>
      <c r="C196" s="3" t="s">
        <v>20</v>
      </c>
      <c r="D196">
        <v>36.78</v>
      </c>
      <c r="E196">
        <v>23.83</v>
      </c>
    </row>
    <row r="197" spans="1:7" x14ac:dyDescent="0.3">
      <c r="A197">
        <v>4</v>
      </c>
      <c r="B197">
        <v>108.08</v>
      </c>
      <c r="C197" s="3" t="s">
        <v>20</v>
      </c>
      <c r="D197">
        <v>36.229999999999997</v>
      </c>
      <c r="E197">
        <v>23.74</v>
      </c>
    </row>
    <row r="198" spans="1:7" x14ac:dyDescent="0.3">
      <c r="A198">
        <v>5</v>
      </c>
      <c r="B198">
        <v>108.12</v>
      </c>
      <c r="C198" s="3" t="s">
        <v>20</v>
      </c>
      <c r="D198">
        <v>36.5</v>
      </c>
      <c r="E198">
        <v>23.78</v>
      </c>
      <c r="F198">
        <f>AVERAGE(D194:D198)</f>
        <v>36.634</v>
      </c>
      <c r="G198">
        <f>AVERAGE(E194:E198)</f>
        <v>23.755999999999997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9D135-251D-4F2A-AC96-B47EE691F2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98506D-CC41-46F9-9D15-58AF44E9E5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97C955C-B26D-4F4C-B6C8-7D7043F58F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Unit2Raw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melab2 [M E]</dc:creator>
  <cp:keywords/>
  <dc:description/>
  <cp:lastModifiedBy>Michael</cp:lastModifiedBy>
  <cp:revision/>
  <dcterms:created xsi:type="dcterms:W3CDTF">2021-03-24T15:31:44Z</dcterms:created>
  <dcterms:modified xsi:type="dcterms:W3CDTF">2021-03-28T00:56:30Z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