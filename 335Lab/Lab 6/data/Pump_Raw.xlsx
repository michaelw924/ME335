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523C8B94-94A7-4372-8732-46E868A62922}" xr6:coauthVersionLast="46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Pump_Ra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5" i="1" l="1"/>
  <c r="J195" i="1"/>
  <c r="I195" i="1"/>
  <c r="H195" i="1"/>
  <c r="K188" i="1"/>
  <c r="J188" i="1"/>
  <c r="I188" i="1"/>
  <c r="H188" i="1"/>
  <c r="K181" i="1"/>
  <c r="J181" i="1"/>
  <c r="I181" i="1"/>
  <c r="H181" i="1"/>
  <c r="K174" i="1"/>
  <c r="J174" i="1"/>
  <c r="I174" i="1"/>
  <c r="H174" i="1"/>
  <c r="K167" i="1"/>
  <c r="J167" i="1"/>
  <c r="I167" i="1"/>
  <c r="H167" i="1"/>
  <c r="K159" i="1"/>
  <c r="J159" i="1"/>
  <c r="I159" i="1"/>
  <c r="H159" i="1"/>
  <c r="K151" i="1"/>
  <c r="J151" i="1"/>
  <c r="I151" i="1"/>
  <c r="H151" i="1"/>
  <c r="K144" i="1"/>
  <c r="J144" i="1"/>
  <c r="I144" i="1"/>
  <c r="H144" i="1"/>
  <c r="K137" i="1"/>
  <c r="J137" i="1"/>
  <c r="I137" i="1"/>
  <c r="H137" i="1"/>
  <c r="K130" i="1"/>
  <c r="J130" i="1"/>
  <c r="I130" i="1"/>
  <c r="H130" i="1"/>
  <c r="K123" i="1"/>
  <c r="J123" i="1"/>
  <c r="I123" i="1"/>
  <c r="H123" i="1"/>
  <c r="K116" i="1"/>
  <c r="J116" i="1"/>
  <c r="I116" i="1"/>
  <c r="H116" i="1"/>
  <c r="K109" i="1"/>
  <c r="J109" i="1"/>
  <c r="I109" i="1"/>
  <c r="H109" i="1"/>
  <c r="K101" i="1"/>
  <c r="J101" i="1"/>
  <c r="I101" i="1"/>
  <c r="H101" i="1"/>
  <c r="K94" i="1"/>
  <c r="J94" i="1"/>
  <c r="I94" i="1"/>
  <c r="H94" i="1"/>
  <c r="K87" i="1"/>
  <c r="J87" i="1"/>
  <c r="I87" i="1"/>
  <c r="H87" i="1"/>
  <c r="K80" i="1"/>
  <c r="J80" i="1"/>
  <c r="I80" i="1"/>
  <c r="H80" i="1"/>
  <c r="K73" i="1"/>
  <c r="J73" i="1"/>
  <c r="I73" i="1"/>
  <c r="H73" i="1"/>
  <c r="K66" i="1"/>
  <c r="J66" i="1"/>
  <c r="I66" i="1"/>
  <c r="H66" i="1"/>
  <c r="K59" i="1"/>
  <c r="J59" i="1"/>
  <c r="I59" i="1"/>
  <c r="H59" i="1"/>
  <c r="K52" i="1"/>
  <c r="J52" i="1"/>
  <c r="I52" i="1"/>
  <c r="H52" i="1"/>
  <c r="K45" i="1"/>
  <c r="J45" i="1"/>
  <c r="I45" i="1"/>
  <c r="H45" i="1"/>
  <c r="K38" i="1"/>
  <c r="J38" i="1"/>
  <c r="I38" i="1"/>
  <c r="H38" i="1"/>
  <c r="K31" i="1"/>
  <c r="J31" i="1"/>
  <c r="I31" i="1"/>
  <c r="H31" i="1"/>
  <c r="K24" i="1"/>
  <c r="J24" i="1"/>
  <c r="I24" i="1"/>
  <c r="H24" i="1"/>
  <c r="I17" i="1"/>
  <c r="J17" i="1"/>
  <c r="K17" i="1"/>
  <c r="H17" i="1"/>
  <c r="K194" i="1"/>
  <c r="J194" i="1"/>
  <c r="I194" i="1"/>
  <c r="H194" i="1"/>
  <c r="K187" i="1"/>
  <c r="J187" i="1"/>
  <c r="I187" i="1"/>
  <c r="H187" i="1"/>
  <c r="K180" i="1"/>
  <c r="J180" i="1"/>
  <c r="I180" i="1"/>
  <c r="H180" i="1"/>
  <c r="K173" i="1"/>
  <c r="J173" i="1"/>
  <c r="I173" i="1"/>
  <c r="H173" i="1"/>
  <c r="K166" i="1"/>
  <c r="J166" i="1"/>
  <c r="I166" i="1"/>
  <c r="H166" i="1"/>
  <c r="K158" i="1"/>
  <c r="J158" i="1"/>
  <c r="I158" i="1"/>
  <c r="H158" i="1"/>
  <c r="K150" i="1"/>
  <c r="J150" i="1"/>
  <c r="I150" i="1"/>
  <c r="H150" i="1"/>
  <c r="K143" i="1"/>
  <c r="J143" i="1"/>
  <c r="I143" i="1"/>
  <c r="H143" i="1"/>
  <c r="K136" i="1"/>
  <c r="J136" i="1"/>
  <c r="I136" i="1"/>
  <c r="H136" i="1"/>
  <c r="K129" i="1"/>
  <c r="J129" i="1"/>
  <c r="I129" i="1"/>
  <c r="H129" i="1"/>
  <c r="K122" i="1"/>
  <c r="J122" i="1"/>
  <c r="I122" i="1"/>
  <c r="H122" i="1"/>
  <c r="K115" i="1"/>
  <c r="J115" i="1"/>
  <c r="I115" i="1"/>
  <c r="H115" i="1"/>
  <c r="K108" i="1"/>
  <c r="J108" i="1"/>
  <c r="I108" i="1"/>
  <c r="H108" i="1"/>
  <c r="K100" i="1"/>
  <c r="J100" i="1"/>
  <c r="I100" i="1"/>
  <c r="H100" i="1"/>
  <c r="K93" i="1"/>
  <c r="J93" i="1"/>
  <c r="I93" i="1"/>
  <c r="H93" i="1"/>
  <c r="K86" i="1"/>
  <c r="J86" i="1"/>
  <c r="I86" i="1"/>
  <c r="H86" i="1"/>
  <c r="K79" i="1"/>
  <c r="J79" i="1"/>
  <c r="I79" i="1"/>
  <c r="H79" i="1"/>
  <c r="K72" i="1"/>
  <c r="J72" i="1"/>
  <c r="I72" i="1"/>
  <c r="H72" i="1"/>
  <c r="K65" i="1"/>
  <c r="J65" i="1"/>
  <c r="I65" i="1"/>
  <c r="H65" i="1"/>
  <c r="K58" i="1"/>
  <c r="J58" i="1"/>
  <c r="I58" i="1"/>
  <c r="H58" i="1"/>
  <c r="K51" i="1"/>
  <c r="J51" i="1"/>
  <c r="I51" i="1"/>
  <c r="H51" i="1"/>
  <c r="K44" i="1"/>
  <c r="J44" i="1"/>
  <c r="I44" i="1"/>
  <c r="H44" i="1"/>
  <c r="K37" i="1"/>
  <c r="J37" i="1"/>
  <c r="I37" i="1"/>
  <c r="H37" i="1"/>
  <c r="K30" i="1"/>
  <c r="J30" i="1"/>
  <c r="I30" i="1"/>
  <c r="H30" i="1"/>
  <c r="H23" i="1"/>
  <c r="I23" i="1"/>
  <c r="J23" i="1"/>
  <c r="K23" i="1"/>
  <c r="I16" i="1"/>
  <c r="J16" i="1"/>
  <c r="H16" i="1"/>
  <c r="K16" i="1"/>
</calcChain>
</file>

<file path=xl/sharedStrings.xml><?xml version="1.0" encoding="utf-8"?>
<sst xmlns="http://schemas.openxmlformats.org/spreadsheetml/2006/main" count="271" uniqueCount="17">
  <si>
    <t>ME 335 Pump Efficiency Lab</t>
  </si>
  <si>
    <t>Date:</t>
  </si>
  <si>
    <t>Time:</t>
  </si>
  <si>
    <t>Section 6</t>
  </si>
  <si>
    <t>Group 2</t>
  </si>
  <si>
    <t>Group Members:</t>
  </si>
  <si>
    <t>Alex</t>
  </si>
  <si>
    <t>Joseph</t>
  </si>
  <si>
    <t>Yiqiu</t>
  </si>
  <si>
    <t>Michael</t>
  </si>
  <si>
    <t>Averages</t>
  </si>
  <si>
    <t>Sample Number</t>
  </si>
  <si>
    <t>Delta Pressure (in. H2O)</t>
  </si>
  <si>
    <t>Flow Rate (GPM)</t>
  </si>
  <si>
    <t>Torque (lb*ft)</t>
  </si>
  <si>
    <t>Motor RPM</t>
  </si>
  <si>
    <t>Valve (% Open)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</si>
</sst>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"/>
  <sheetViews>
    <sheetView tabSelected="1" workbookViewId="0">
      <selection activeCell="K52" activeCellId="4" sqref="K24 K31 K38 K45 K52"/>
    </sheetView>
  </sheetViews>
  <sheetFormatPr defaultRowHeight="14.4" x14ac:dyDescent="0.3"/>
  <cols>
    <col min="1" max="1" width="14.88671875" customWidth="1"/>
    <col min="2" max="2" width="21.6640625" customWidth="1"/>
    <col min="3" max="3" width="15.6640625" customWidth="1"/>
    <col min="4" max="4" width="14" customWidth="1"/>
    <col min="5" max="5" width="13.88671875" customWidth="1"/>
    <col min="6" max="6" width="15.44140625" customWidth="1"/>
    <col min="8" max="8" width="21" customWidth="1"/>
    <col min="9" max="9" width="15.33203125" customWidth="1"/>
    <col min="10" max="10" width="16" customWidth="1"/>
    <col min="11" max="11" width="12.44140625" customWidth="1"/>
  </cols>
  <sheetData>
    <row r="1" spans="1:11" x14ac:dyDescent="0.3">
      <c r="A1" t="s">
        <v>0</v>
      </c>
    </row>
    <row r="2" spans="1:11" x14ac:dyDescent="0.3">
      <c r="A2" t="s">
        <v>1</v>
      </c>
      <c r="B2" s="1">
        <v>44307</v>
      </c>
      <c r="D2" t="s">
        <v>2</v>
      </c>
      <c r="E2" s="2">
        <v>0.42291666666666666</v>
      </c>
    </row>
    <row r="4" spans="1:11" x14ac:dyDescent="0.3">
      <c r="A4" t="s">
        <v>3</v>
      </c>
      <c r="B4" t="s">
        <v>4</v>
      </c>
    </row>
    <row r="5" spans="1:11" x14ac:dyDescent="0.3">
      <c r="A5" t="s">
        <v>5</v>
      </c>
    </row>
    <row r="10" spans="1:11" x14ac:dyDescent="0.3">
      <c r="A10" t="s">
        <v>6</v>
      </c>
    </row>
    <row r="11" spans="1:11" x14ac:dyDescent="0.3">
      <c r="A11" t="s">
        <v>7</v>
      </c>
    </row>
    <row r="12" spans="1:11" x14ac:dyDescent="0.3">
      <c r="A12" t="s">
        <v>8</v>
      </c>
    </row>
    <row r="13" spans="1:11" x14ac:dyDescent="0.3">
      <c r="A13" t="s">
        <v>9</v>
      </c>
    </row>
    <row r="14" spans="1:11" x14ac:dyDescent="0.3">
      <c r="H14" t="s">
        <v>10</v>
      </c>
    </row>
    <row r="15" spans="1:11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H15" t="s">
        <v>12</v>
      </c>
      <c r="I15" t="s">
        <v>13</v>
      </c>
      <c r="J15" t="s">
        <v>14</v>
      </c>
      <c r="K15" t="s">
        <v>15</v>
      </c>
    </row>
    <row r="16" spans="1:11" x14ac:dyDescent="0.3">
      <c r="A16">
        <v>1</v>
      </c>
      <c r="B16">
        <v>2.95</v>
      </c>
      <c r="C16">
        <v>3.81</v>
      </c>
      <c r="D16">
        <v>0.08</v>
      </c>
      <c r="E16">
        <v>245.72</v>
      </c>
      <c r="F16">
        <v>100</v>
      </c>
      <c r="H16">
        <f>AVERAGE(B16:B20)</f>
        <v>2.8940000000000001</v>
      </c>
      <c r="I16">
        <f>AVERAGE(C16:C20)</f>
        <v>3.8639999999999999</v>
      </c>
      <c r="J16">
        <f>AVERAGE(D16:D20)</f>
        <v>8.2000000000000003E-2</v>
      </c>
      <c r="K16">
        <f>AVERAGE(E16:E20)</f>
        <v>248.05199999999999</v>
      </c>
    </row>
    <row r="17" spans="1:11" x14ac:dyDescent="0.3">
      <c r="A17">
        <v>2</v>
      </c>
      <c r="B17">
        <v>2.79</v>
      </c>
      <c r="C17">
        <v>3.91</v>
      </c>
      <c r="D17">
        <v>0.08</v>
      </c>
      <c r="E17">
        <v>249.03</v>
      </c>
      <c r="F17">
        <v>100</v>
      </c>
      <c r="H17">
        <f>_xlfn.STDEV.S(B16:B20)</f>
        <v>0.16562004709575479</v>
      </c>
      <c r="I17">
        <f t="shared" ref="I17:K17" si="0">_xlfn.STDEV.S(C16:C20)</f>
        <v>3.6469165057620961E-2</v>
      </c>
      <c r="J17">
        <f t="shared" si="0"/>
        <v>4.4721359549995772E-3</v>
      </c>
      <c r="K17">
        <f t="shared" si="0"/>
        <v>1.6960306601002235</v>
      </c>
    </row>
    <row r="18" spans="1:11" x14ac:dyDescent="0.3">
      <c r="A18">
        <v>3</v>
      </c>
      <c r="B18">
        <v>2.76</v>
      </c>
      <c r="C18">
        <v>3.86</v>
      </c>
      <c r="D18">
        <v>0.09</v>
      </c>
      <c r="E18">
        <v>247.01</v>
      </c>
      <c r="F18">
        <v>100</v>
      </c>
    </row>
    <row r="19" spans="1:11" x14ac:dyDescent="0.3">
      <c r="A19">
        <v>4</v>
      </c>
      <c r="B19">
        <v>2.81</v>
      </c>
      <c r="C19">
        <v>3.86</v>
      </c>
      <c r="D19">
        <v>0.08</v>
      </c>
      <c r="E19">
        <v>248.49</v>
      </c>
      <c r="F19">
        <v>100</v>
      </c>
    </row>
    <row r="20" spans="1:11" x14ac:dyDescent="0.3">
      <c r="A20">
        <v>5</v>
      </c>
      <c r="B20">
        <v>3.16</v>
      </c>
      <c r="C20">
        <v>3.88</v>
      </c>
      <c r="D20">
        <v>0.08</v>
      </c>
      <c r="E20">
        <v>250.01</v>
      </c>
      <c r="F20">
        <v>100</v>
      </c>
    </row>
    <row r="21" spans="1:11" s="4" customFormat="1" x14ac:dyDescent="0.3"/>
    <row r="22" spans="1:11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H22" t="s">
        <v>12</v>
      </c>
      <c r="I22" t="s">
        <v>13</v>
      </c>
      <c r="J22" t="s">
        <v>14</v>
      </c>
      <c r="K22" t="s">
        <v>15</v>
      </c>
    </row>
    <row r="23" spans="1:11" x14ac:dyDescent="0.3">
      <c r="A23">
        <v>1</v>
      </c>
      <c r="B23">
        <v>542.37</v>
      </c>
      <c r="C23">
        <v>55.2</v>
      </c>
      <c r="D23">
        <v>2.0699999999999998</v>
      </c>
      <c r="E23">
        <v>3540.45</v>
      </c>
      <c r="F23">
        <v>100</v>
      </c>
      <c r="H23" s="3">
        <f>AVERAGE(B23:B27)</f>
        <v>541.41</v>
      </c>
      <c r="I23" s="3">
        <f>AVERAGE(C23:C27)</f>
        <v>55.19</v>
      </c>
      <c r="J23" s="3">
        <f>AVERAGE(D23:D27)</f>
        <v>2.0659999999999998</v>
      </c>
      <c r="K23" s="3">
        <f>AVERAGE(E23:E27)</f>
        <v>3514.0940000000001</v>
      </c>
    </row>
    <row r="24" spans="1:11" x14ac:dyDescent="0.3">
      <c r="A24">
        <v>2</v>
      </c>
      <c r="B24">
        <v>540.77</v>
      </c>
      <c r="C24">
        <v>55.19</v>
      </c>
      <c r="D24">
        <v>2.0699999999999998</v>
      </c>
      <c r="E24">
        <v>3475.84</v>
      </c>
      <c r="F24">
        <v>100</v>
      </c>
      <c r="H24">
        <f>_xlfn.STDEV.S(B23:B27)</f>
        <v>1.1741379816699347</v>
      </c>
      <c r="I24">
        <f t="shared" ref="I24" si="1">_xlfn.STDEV.S(C23:C27)</f>
        <v>3.240370349203834E-2</v>
      </c>
      <c r="J24">
        <f t="shared" ref="J24" si="2">_xlfn.STDEV.S(D23:D27)</f>
        <v>5.4772255750515442E-3</v>
      </c>
      <c r="K24">
        <f t="shared" ref="K24" si="3">_xlfn.STDEV.S(E23:E27)</f>
        <v>25.242884740060848</v>
      </c>
    </row>
    <row r="25" spans="1:11" x14ac:dyDescent="0.3">
      <c r="A25">
        <v>3</v>
      </c>
      <c r="B25">
        <v>540.79</v>
      </c>
      <c r="C25">
        <v>55.23</v>
      </c>
      <c r="D25">
        <v>2.06</v>
      </c>
      <c r="E25">
        <v>3532.01</v>
      </c>
      <c r="F25">
        <v>100</v>
      </c>
    </row>
    <row r="26" spans="1:11" x14ac:dyDescent="0.3">
      <c r="A26">
        <v>4</v>
      </c>
      <c r="B26">
        <v>542.92999999999995</v>
      </c>
      <c r="C26">
        <v>55.14</v>
      </c>
      <c r="D26">
        <v>2.06</v>
      </c>
      <c r="E26">
        <v>3516.17</v>
      </c>
      <c r="F26">
        <v>100</v>
      </c>
    </row>
    <row r="27" spans="1:11" x14ac:dyDescent="0.3">
      <c r="A27">
        <v>5</v>
      </c>
      <c r="B27">
        <v>540.19000000000005</v>
      </c>
      <c r="C27">
        <v>55.19</v>
      </c>
      <c r="D27">
        <v>2.0699999999999998</v>
      </c>
      <c r="E27">
        <v>3506</v>
      </c>
      <c r="F27">
        <v>100</v>
      </c>
    </row>
    <row r="29" spans="1:11" x14ac:dyDescent="0.3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H29" t="s">
        <v>12</v>
      </c>
      <c r="I29" t="s">
        <v>13</v>
      </c>
      <c r="J29" t="s">
        <v>14</v>
      </c>
      <c r="K29" t="s">
        <v>15</v>
      </c>
    </row>
    <row r="30" spans="1:11" x14ac:dyDescent="0.3">
      <c r="A30">
        <v>1</v>
      </c>
      <c r="B30">
        <v>575.79</v>
      </c>
      <c r="C30">
        <v>51.28</v>
      </c>
      <c r="D30">
        <v>2.0299999999999998</v>
      </c>
      <c r="E30">
        <v>3492.23</v>
      </c>
      <c r="F30">
        <v>80</v>
      </c>
      <c r="H30">
        <f>AVERAGE(B30:B34)</f>
        <v>576.13199999999995</v>
      </c>
      <c r="I30">
        <f>AVERAGE(C30:C34)</f>
        <v>51.244000000000007</v>
      </c>
      <c r="J30">
        <f>AVERAGE(D30:D34)</f>
        <v>2.0219999999999998</v>
      </c>
      <c r="K30">
        <f>AVERAGE(E30:E34)</f>
        <v>3517.78</v>
      </c>
    </row>
    <row r="31" spans="1:11" x14ac:dyDescent="0.3">
      <c r="A31">
        <v>2</v>
      </c>
      <c r="B31">
        <v>574.6</v>
      </c>
      <c r="C31">
        <v>51.24</v>
      </c>
      <c r="D31">
        <v>2.02</v>
      </c>
      <c r="E31">
        <v>3544.21</v>
      </c>
      <c r="F31">
        <v>80</v>
      </c>
      <c r="H31">
        <f>_xlfn.STDEV.S(B30:B34)</f>
        <v>1.0373620390201124</v>
      </c>
      <c r="I31">
        <f t="shared" ref="I31" si="4">_xlfn.STDEV.S(C30:C34)</f>
        <v>2.3021728866443807E-2</v>
      </c>
      <c r="J31">
        <f t="shared" ref="J31" si="5">_xlfn.STDEV.S(D30:D34)</f>
        <v>4.4721359549994844E-3</v>
      </c>
      <c r="K31">
        <f t="shared" ref="K31" si="6">_xlfn.STDEV.S(E30:E34)</f>
        <v>23.172369322104313</v>
      </c>
    </row>
    <row r="32" spans="1:11" x14ac:dyDescent="0.3">
      <c r="A32">
        <v>3</v>
      </c>
      <c r="B32">
        <v>576.09</v>
      </c>
      <c r="C32">
        <v>51.23</v>
      </c>
      <c r="D32">
        <v>2.02</v>
      </c>
      <c r="E32">
        <v>3517.1</v>
      </c>
      <c r="F32">
        <v>80</v>
      </c>
    </row>
    <row r="33" spans="1:11" x14ac:dyDescent="0.3">
      <c r="A33">
        <v>4</v>
      </c>
      <c r="B33">
        <v>577.13</v>
      </c>
      <c r="C33">
        <v>51.25</v>
      </c>
      <c r="D33">
        <v>2.02</v>
      </c>
      <c r="E33">
        <v>3497.73</v>
      </c>
      <c r="F33">
        <v>80</v>
      </c>
    </row>
    <row r="34" spans="1:11" x14ac:dyDescent="0.3">
      <c r="A34">
        <v>5</v>
      </c>
      <c r="B34">
        <v>577.04999999999995</v>
      </c>
      <c r="C34">
        <v>51.22</v>
      </c>
      <c r="D34">
        <v>2.02</v>
      </c>
      <c r="E34">
        <v>3537.63</v>
      </c>
      <c r="F34">
        <v>80</v>
      </c>
    </row>
    <row r="36" spans="1:11" x14ac:dyDescent="0.3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H36" t="s">
        <v>12</v>
      </c>
      <c r="I36" t="s">
        <v>13</v>
      </c>
      <c r="J36" t="s">
        <v>14</v>
      </c>
      <c r="K36" t="s">
        <v>15</v>
      </c>
    </row>
    <row r="37" spans="1:11" x14ac:dyDescent="0.3">
      <c r="A37">
        <v>1</v>
      </c>
      <c r="B37">
        <v>639.62</v>
      </c>
      <c r="C37">
        <v>41.53</v>
      </c>
      <c r="D37">
        <v>1.86</v>
      </c>
      <c r="E37">
        <v>3518.96</v>
      </c>
      <c r="F37">
        <v>60</v>
      </c>
      <c r="H37">
        <f>AVERAGE(B37:B41)</f>
        <v>639.7360000000001</v>
      </c>
      <c r="I37">
        <f>AVERAGE(C37:C41)</f>
        <v>41.507999999999996</v>
      </c>
      <c r="J37">
        <f>AVERAGE(D37:D41)</f>
        <v>1.8700000000000003</v>
      </c>
      <c r="K37">
        <f>AVERAGE(E37:E41)</f>
        <v>3538.1080000000002</v>
      </c>
    </row>
    <row r="38" spans="1:11" x14ac:dyDescent="0.3">
      <c r="A38">
        <v>2</v>
      </c>
      <c r="B38">
        <v>640.03</v>
      </c>
      <c r="C38">
        <v>41.45</v>
      </c>
      <c r="D38">
        <v>1.87</v>
      </c>
      <c r="E38">
        <v>3520.82</v>
      </c>
      <c r="F38">
        <v>60</v>
      </c>
      <c r="H38">
        <f>_xlfn.STDEV.S(B37:B41)</f>
        <v>0.27826246602799409</v>
      </c>
      <c r="I38">
        <f t="shared" ref="I38" si="7">_xlfn.STDEV.S(C37:C41)</f>
        <v>7.8866976612522025E-2</v>
      </c>
      <c r="J38">
        <f t="shared" ref="J38" si="8">_xlfn.STDEV.S(D37:D41)</f>
        <v>7.0710678118654034E-3</v>
      </c>
      <c r="K38">
        <f t="shared" ref="K38" si="9">_xlfn.STDEV.S(E37:E41)</f>
        <v>20.97613215061341</v>
      </c>
    </row>
    <row r="39" spans="1:11" x14ac:dyDescent="0.3">
      <c r="A39">
        <v>3</v>
      </c>
      <c r="B39">
        <v>639.32000000000005</v>
      </c>
      <c r="C39">
        <v>41.43</v>
      </c>
      <c r="D39">
        <v>1.87</v>
      </c>
      <c r="E39">
        <v>3555.56</v>
      </c>
      <c r="F39">
        <v>60</v>
      </c>
    </row>
    <row r="40" spans="1:11" x14ac:dyDescent="0.3">
      <c r="A40">
        <v>4</v>
      </c>
      <c r="B40">
        <v>639.79</v>
      </c>
      <c r="C40">
        <v>41.5</v>
      </c>
      <c r="D40">
        <v>1.88</v>
      </c>
      <c r="E40">
        <v>3565.06</v>
      </c>
      <c r="F40">
        <v>60</v>
      </c>
    </row>
    <row r="41" spans="1:11" x14ac:dyDescent="0.3">
      <c r="A41">
        <v>5</v>
      </c>
      <c r="B41">
        <v>639.91999999999996</v>
      </c>
      <c r="C41">
        <v>41.63</v>
      </c>
      <c r="D41">
        <v>1.87</v>
      </c>
      <c r="E41">
        <v>3530.14</v>
      </c>
      <c r="F41">
        <v>60</v>
      </c>
    </row>
    <row r="43" spans="1:11" x14ac:dyDescent="0.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H43" t="s">
        <v>12</v>
      </c>
      <c r="I43" t="s">
        <v>13</v>
      </c>
      <c r="J43" t="s">
        <v>14</v>
      </c>
      <c r="K43" t="s">
        <v>15</v>
      </c>
    </row>
    <row r="44" spans="1:11" x14ac:dyDescent="0.3">
      <c r="A44">
        <v>1</v>
      </c>
      <c r="B44">
        <v>719.81</v>
      </c>
      <c r="C44">
        <v>20.100000000000001</v>
      </c>
      <c r="D44">
        <v>1.46</v>
      </c>
      <c r="E44">
        <v>3532.94</v>
      </c>
      <c r="F44">
        <v>40</v>
      </c>
      <c r="H44">
        <f>AVERAGE(B44:B48)</f>
        <v>719.98200000000008</v>
      </c>
      <c r="I44">
        <f>AVERAGE(C44:C48)</f>
        <v>20.106000000000002</v>
      </c>
      <c r="J44">
        <f>AVERAGE(D44:D48)</f>
        <v>1.458</v>
      </c>
      <c r="K44">
        <f>AVERAGE(E44:E48)</f>
        <v>3550.3720000000003</v>
      </c>
    </row>
    <row r="45" spans="1:11" x14ac:dyDescent="0.3">
      <c r="A45">
        <v>2</v>
      </c>
      <c r="B45">
        <v>719.59</v>
      </c>
      <c r="C45">
        <v>20.170000000000002</v>
      </c>
      <c r="D45">
        <v>1.45</v>
      </c>
      <c r="E45">
        <v>3530.14</v>
      </c>
      <c r="F45">
        <v>40</v>
      </c>
      <c r="H45">
        <f>_xlfn.STDEV.S(B44:B48)</f>
        <v>0.62319338892512044</v>
      </c>
      <c r="I45">
        <f t="shared" ref="I45" si="10">_xlfn.STDEV.S(C44:C48)</f>
        <v>4.0373258476373686E-2</v>
      </c>
      <c r="J45">
        <f t="shared" ref="J45" si="11">_xlfn.STDEV.S(D44:D48)</f>
        <v>4.4721359549995832E-3</v>
      </c>
      <c r="K45">
        <f t="shared" ref="K45" si="12">_xlfn.STDEV.S(E44:E48)</f>
        <v>23.066974660756863</v>
      </c>
    </row>
    <row r="46" spans="1:11" x14ac:dyDescent="0.3">
      <c r="A46">
        <v>3</v>
      </c>
      <c r="B46">
        <v>719.28</v>
      </c>
      <c r="C46">
        <v>20.11</v>
      </c>
      <c r="D46">
        <v>1.46</v>
      </c>
      <c r="E46">
        <v>3545.16</v>
      </c>
      <c r="F46">
        <v>40</v>
      </c>
    </row>
    <row r="47" spans="1:11" x14ac:dyDescent="0.3">
      <c r="A47">
        <v>4</v>
      </c>
      <c r="B47">
        <v>720.81</v>
      </c>
      <c r="C47">
        <v>20.09</v>
      </c>
      <c r="D47">
        <v>1.46</v>
      </c>
      <c r="E47">
        <v>3587.12</v>
      </c>
      <c r="F47">
        <v>40</v>
      </c>
    </row>
    <row r="48" spans="1:11" x14ac:dyDescent="0.3">
      <c r="A48">
        <v>5</v>
      </c>
      <c r="B48">
        <v>720.42</v>
      </c>
      <c r="C48">
        <v>20.059999999999999</v>
      </c>
      <c r="D48">
        <v>1.46</v>
      </c>
      <c r="E48">
        <v>3556.5</v>
      </c>
      <c r="F48">
        <v>40</v>
      </c>
    </row>
    <row r="50" spans="1:11" x14ac:dyDescent="0.3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H50" t="s">
        <v>12</v>
      </c>
      <c r="I50" t="s">
        <v>13</v>
      </c>
      <c r="J50" t="s">
        <v>14</v>
      </c>
      <c r="K50" t="s">
        <v>15</v>
      </c>
    </row>
    <row r="51" spans="1:11" x14ac:dyDescent="0.3">
      <c r="A51">
        <v>1</v>
      </c>
      <c r="B51">
        <v>733.68</v>
      </c>
      <c r="C51">
        <v>7.87</v>
      </c>
      <c r="D51">
        <v>1.22</v>
      </c>
      <c r="E51">
        <v>3548.93</v>
      </c>
      <c r="F51">
        <v>20</v>
      </c>
      <c r="H51">
        <f>AVERAGE(B51:B55)</f>
        <v>734.9559999999999</v>
      </c>
      <c r="I51">
        <f>AVERAGE(C51:C55)</f>
        <v>7.742</v>
      </c>
      <c r="J51">
        <f>AVERAGE(D51:D55)</f>
        <v>1.214</v>
      </c>
      <c r="K51">
        <f>AVERAGE(E51:E55)</f>
        <v>3567.2280000000001</v>
      </c>
    </row>
    <row r="52" spans="1:11" x14ac:dyDescent="0.3">
      <c r="A52">
        <v>2</v>
      </c>
      <c r="B52">
        <v>735.6</v>
      </c>
      <c r="C52">
        <v>7.83</v>
      </c>
      <c r="D52">
        <v>1.21</v>
      </c>
      <c r="E52">
        <v>3587.12</v>
      </c>
      <c r="F52">
        <v>20</v>
      </c>
      <c r="H52">
        <f>_xlfn.STDEV.S(B51:B55)</f>
        <v>0.91262259450444261</v>
      </c>
      <c r="I52">
        <f t="shared" ref="I52" si="13">_xlfn.STDEV.S(C51:C55)</f>
        <v>0.10473776778220936</v>
      </c>
      <c r="J52">
        <f t="shared" ref="J52" si="14">_xlfn.STDEV.S(D51:D55)</f>
        <v>5.4772255750516656E-3</v>
      </c>
      <c r="K52">
        <f t="shared" ref="K52" si="15">_xlfn.STDEV.S(E51:E55)</f>
        <v>17.380653612565894</v>
      </c>
    </row>
    <row r="53" spans="1:11" x14ac:dyDescent="0.3">
      <c r="A53">
        <v>3</v>
      </c>
      <c r="B53">
        <v>734.4</v>
      </c>
      <c r="C53">
        <v>7.71</v>
      </c>
      <c r="D53">
        <v>1.21</v>
      </c>
      <c r="E53">
        <v>3552.71</v>
      </c>
      <c r="F53">
        <v>20</v>
      </c>
    </row>
    <row r="54" spans="1:11" x14ac:dyDescent="0.3">
      <c r="A54">
        <v>4</v>
      </c>
      <c r="B54">
        <v>735.92</v>
      </c>
      <c r="C54">
        <v>7.68</v>
      </c>
      <c r="D54">
        <v>1.22</v>
      </c>
      <c r="E54">
        <v>3583.27</v>
      </c>
      <c r="F54">
        <v>20</v>
      </c>
    </row>
    <row r="55" spans="1:11" x14ac:dyDescent="0.3">
      <c r="A55">
        <v>5</v>
      </c>
      <c r="B55">
        <v>735.18</v>
      </c>
      <c r="C55">
        <v>7.62</v>
      </c>
      <c r="D55">
        <v>1.21</v>
      </c>
      <c r="E55">
        <v>3564.11</v>
      </c>
      <c r="F55">
        <v>20</v>
      </c>
    </row>
    <row r="56" spans="1:11" s="4" customFormat="1" x14ac:dyDescent="0.3"/>
    <row r="57" spans="1:11" x14ac:dyDescent="0.3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H57" t="s">
        <v>12</v>
      </c>
      <c r="I57" t="s">
        <v>13</v>
      </c>
      <c r="J57" t="s">
        <v>14</v>
      </c>
      <c r="K57" t="s">
        <v>15</v>
      </c>
    </row>
    <row r="58" spans="1:11" x14ac:dyDescent="0.3">
      <c r="A58">
        <v>1</v>
      </c>
      <c r="B58">
        <v>426.31</v>
      </c>
      <c r="C58">
        <v>48.91</v>
      </c>
      <c r="D58">
        <v>1.63</v>
      </c>
      <c r="E58">
        <v>3102.94</v>
      </c>
      <c r="F58">
        <v>100</v>
      </c>
      <c r="H58">
        <f>AVERAGE(B58:B62)</f>
        <v>426.31400000000002</v>
      </c>
      <c r="I58">
        <f>AVERAGE(C58:C62)</f>
        <v>48.87</v>
      </c>
      <c r="J58">
        <f>AVERAGE(D58:D62)</f>
        <v>1.6299999999999997</v>
      </c>
      <c r="K58">
        <f>AVERAGE(E58:E62)</f>
        <v>3105.7640000000001</v>
      </c>
    </row>
    <row r="59" spans="1:11" x14ac:dyDescent="0.3">
      <c r="A59">
        <v>2</v>
      </c>
      <c r="B59">
        <v>426.8</v>
      </c>
      <c r="C59">
        <v>48.83</v>
      </c>
      <c r="D59">
        <v>1.63</v>
      </c>
      <c r="E59">
        <v>3117.45</v>
      </c>
      <c r="F59">
        <v>100</v>
      </c>
      <c r="H59">
        <f>_xlfn.STDEV.S(B58:B62)</f>
        <v>0.79976871656747794</v>
      </c>
      <c r="I59">
        <f t="shared" ref="I59" si="16">_xlfn.STDEV.S(C58:C62)</f>
        <v>3.1622776601683118E-2</v>
      </c>
      <c r="J59">
        <f t="shared" ref="J59" si="17">_xlfn.STDEV.S(D58:D62)</f>
        <v>2.4825341532472731E-16</v>
      </c>
      <c r="K59">
        <f t="shared" ref="K59" si="18">_xlfn.STDEV.S(E58:E62)</f>
        <v>17.421654054652834</v>
      </c>
    </row>
    <row r="60" spans="1:11" x14ac:dyDescent="0.3">
      <c r="A60">
        <v>3</v>
      </c>
      <c r="B60">
        <v>427.31</v>
      </c>
      <c r="C60">
        <v>48.87</v>
      </c>
      <c r="D60">
        <v>1.63</v>
      </c>
      <c r="E60">
        <v>3076.45</v>
      </c>
      <c r="F60">
        <v>100</v>
      </c>
    </row>
    <row r="61" spans="1:11" x14ac:dyDescent="0.3">
      <c r="A61">
        <v>4</v>
      </c>
      <c r="B61">
        <v>425.92</v>
      </c>
      <c r="C61">
        <v>48.89</v>
      </c>
      <c r="D61">
        <v>1.63</v>
      </c>
      <c r="E61">
        <v>3116.72</v>
      </c>
      <c r="F61">
        <v>100</v>
      </c>
    </row>
    <row r="62" spans="1:11" x14ac:dyDescent="0.3">
      <c r="A62">
        <v>5</v>
      </c>
      <c r="B62">
        <v>425.23</v>
      </c>
      <c r="C62">
        <v>48.85</v>
      </c>
      <c r="D62">
        <v>1.63</v>
      </c>
      <c r="E62">
        <v>3115.26</v>
      </c>
      <c r="F62">
        <v>100</v>
      </c>
    </row>
    <row r="64" spans="1:11" x14ac:dyDescent="0.3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H64" t="s">
        <v>12</v>
      </c>
      <c r="I64" t="s">
        <v>13</v>
      </c>
      <c r="J64" t="s">
        <v>14</v>
      </c>
      <c r="K64" t="s">
        <v>15</v>
      </c>
    </row>
    <row r="65" spans="1:11" x14ac:dyDescent="0.3">
      <c r="A65">
        <v>1</v>
      </c>
      <c r="B65">
        <v>444.27</v>
      </c>
      <c r="C65">
        <v>47.34</v>
      </c>
      <c r="D65">
        <v>1.59</v>
      </c>
      <c r="E65">
        <v>3122.56</v>
      </c>
      <c r="F65">
        <v>80</v>
      </c>
      <c r="H65">
        <f>AVERAGE(B65:B69)</f>
        <v>448.98400000000004</v>
      </c>
      <c r="I65">
        <f>AVERAGE(C65:C69)</f>
        <v>45.786000000000001</v>
      </c>
      <c r="J65">
        <f>AVERAGE(D65:D69)</f>
        <v>1.59</v>
      </c>
      <c r="K65">
        <f>AVERAGE(E65:E69)</f>
        <v>3105.0919999999996</v>
      </c>
    </row>
    <row r="66" spans="1:11" x14ac:dyDescent="0.3">
      <c r="A66">
        <v>2</v>
      </c>
      <c r="B66">
        <v>451.38</v>
      </c>
      <c r="C66">
        <v>45.8</v>
      </c>
      <c r="D66">
        <v>1.59</v>
      </c>
      <c r="E66">
        <v>3079.29</v>
      </c>
      <c r="F66">
        <v>80</v>
      </c>
      <c r="H66">
        <f>_xlfn.STDEV.S(B65:B69)</f>
        <v>2.7853060873089093</v>
      </c>
      <c r="I66">
        <f t="shared" ref="I66" si="19">_xlfn.STDEV.S(C65:C69)</f>
        <v>0.89971106473133977</v>
      </c>
      <c r="J66">
        <f t="shared" ref="J66" si="20">_xlfn.STDEV.S(D65:D69)</f>
        <v>0</v>
      </c>
      <c r="K66">
        <f t="shared" ref="K66" si="21">_xlfn.STDEV.S(E65:E69)</f>
        <v>22.325639296557664</v>
      </c>
    </row>
    <row r="67" spans="1:11" x14ac:dyDescent="0.3">
      <c r="A67">
        <v>3</v>
      </c>
      <c r="B67">
        <v>449.01</v>
      </c>
      <c r="C67">
        <v>45.31</v>
      </c>
      <c r="D67">
        <v>1.59</v>
      </c>
      <c r="E67">
        <v>3118.91</v>
      </c>
      <c r="F67">
        <v>80</v>
      </c>
    </row>
    <row r="68" spans="1:11" x14ac:dyDescent="0.3">
      <c r="A68">
        <v>4</v>
      </c>
      <c r="B68">
        <v>449.66</v>
      </c>
      <c r="C68">
        <v>45.24</v>
      </c>
      <c r="D68">
        <v>1.59</v>
      </c>
      <c r="E68">
        <v>3122.56</v>
      </c>
      <c r="F68">
        <v>80</v>
      </c>
    </row>
    <row r="69" spans="1:11" x14ac:dyDescent="0.3">
      <c r="A69">
        <v>5</v>
      </c>
      <c r="B69">
        <v>450.6</v>
      </c>
      <c r="C69">
        <v>45.24</v>
      </c>
      <c r="D69">
        <v>1.59</v>
      </c>
      <c r="E69">
        <v>3082.14</v>
      </c>
      <c r="F69">
        <v>80</v>
      </c>
    </row>
    <row r="71" spans="1:11" x14ac:dyDescent="0.3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H71" t="s">
        <v>12</v>
      </c>
      <c r="I71" t="s">
        <v>13</v>
      </c>
      <c r="J71" t="s">
        <v>14</v>
      </c>
      <c r="K71" t="s">
        <v>15</v>
      </c>
    </row>
    <row r="72" spans="1:11" x14ac:dyDescent="0.3">
      <c r="A72">
        <v>1</v>
      </c>
      <c r="B72">
        <v>493.67</v>
      </c>
      <c r="C72">
        <v>36.65</v>
      </c>
      <c r="D72">
        <v>1.48</v>
      </c>
      <c r="E72">
        <v>3110.9</v>
      </c>
      <c r="F72">
        <v>60</v>
      </c>
      <c r="H72">
        <f>AVERAGE(B72:B76)</f>
        <v>494.67800000000005</v>
      </c>
      <c r="I72">
        <f>AVERAGE(C72:C76)</f>
        <v>36.616</v>
      </c>
      <c r="J72">
        <f>AVERAGE(D72:D76)</f>
        <v>1.472</v>
      </c>
      <c r="K72">
        <f>AVERAGE(E72:E76)</f>
        <v>3105.6459999999997</v>
      </c>
    </row>
    <row r="73" spans="1:11" x14ac:dyDescent="0.3">
      <c r="A73">
        <v>2</v>
      </c>
      <c r="B73">
        <v>494</v>
      </c>
      <c r="C73">
        <v>36.770000000000003</v>
      </c>
      <c r="D73">
        <v>1.47</v>
      </c>
      <c r="E73">
        <v>3078.58</v>
      </c>
      <c r="F73">
        <v>60</v>
      </c>
      <c r="H73">
        <f>_xlfn.STDEV.S(B72:B76)</f>
        <v>1.051865010350655</v>
      </c>
      <c r="I73">
        <f t="shared" ref="I73" si="22">_xlfn.STDEV.S(C72:C76)</f>
        <v>0.15931101656822164</v>
      </c>
      <c r="J73">
        <f t="shared" ref="J73" si="23">_xlfn.STDEV.S(D72:D76)</f>
        <v>4.4721359549995832E-3</v>
      </c>
      <c r="K73">
        <f t="shared" ref="K73" si="24">_xlfn.STDEV.S(E72:E76)</f>
        <v>20.15181828024458</v>
      </c>
    </row>
    <row r="74" spans="1:11" x14ac:dyDescent="0.3">
      <c r="A74">
        <v>3</v>
      </c>
      <c r="B74">
        <v>494.26</v>
      </c>
      <c r="C74">
        <v>36.76</v>
      </c>
      <c r="D74">
        <v>1.47</v>
      </c>
      <c r="E74">
        <v>3121.1</v>
      </c>
      <c r="F74">
        <v>60</v>
      </c>
    </row>
    <row r="75" spans="1:11" x14ac:dyDescent="0.3">
      <c r="A75">
        <v>4</v>
      </c>
      <c r="B75">
        <v>495.2</v>
      </c>
      <c r="C75">
        <v>36.47</v>
      </c>
      <c r="D75">
        <v>1.47</v>
      </c>
      <c r="E75">
        <v>3126.22</v>
      </c>
      <c r="F75">
        <v>60</v>
      </c>
    </row>
    <row r="76" spans="1:11" x14ac:dyDescent="0.3">
      <c r="A76">
        <v>5</v>
      </c>
      <c r="B76">
        <v>496.26</v>
      </c>
      <c r="C76">
        <v>36.43</v>
      </c>
      <c r="D76">
        <v>1.47</v>
      </c>
      <c r="E76">
        <v>3091.43</v>
      </c>
      <c r="F76">
        <v>60</v>
      </c>
    </row>
    <row r="78" spans="1:11" x14ac:dyDescent="0.3">
      <c r="A78" t="s">
        <v>11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H78" t="s">
        <v>12</v>
      </c>
      <c r="I78" t="s">
        <v>13</v>
      </c>
      <c r="J78" t="s">
        <v>14</v>
      </c>
      <c r="K78" t="s">
        <v>15</v>
      </c>
    </row>
    <row r="79" spans="1:11" x14ac:dyDescent="0.3">
      <c r="A79">
        <v>1</v>
      </c>
      <c r="B79">
        <v>552.04999999999995</v>
      </c>
      <c r="C79">
        <v>17.72</v>
      </c>
      <c r="D79">
        <v>1.1399999999999999</v>
      </c>
      <c r="E79">
        <v>3092.15</v>
      </c>
      <c r="F79">
        <v>40</v>
      </c>
      <c r="H79">
        <f>AVERAGE(B79:B83)</f>
        <v>552.2299999999999</v>
      </c>
      <c r="I79">
        <f>AVERAGE(C79:C83)</f>
        <v>17.600000000000001</v>
      </c>
      <c r="J79">
        <f>AVERAGE(D79:D83)</f>
        <v>1.1419999999999999</v>
      </c>
      <c r="K79">
        <f>AVERAGE(E79:E83)</f>
        <v>3121.1880000000001</v>
      </c>
    </row>
    <row r="80" spans="1:11" x14ac:dyDescent="0.3">
      <c r="A80">
        <v>2</v>
      </c>
      <c r="B80">
        <v>551.80999999999995</v>
      </c>
      <c r="C80">
        <v>17.579999999999998</v>
      </c>
      <c r="D80">
        <v>1.1499999999999999</v>
      </c>
      <c r="E80">
        <v>3121.1</v>
      </c>
      <c r="F80">
        <v>40</v>
      </c>
      <c r="H80">
        <f>_xlfn.STDEV.S(B79:B83)</f>
        <v>0.38749193539999566</v>
      </c>
      <c r="I80">
        <f t="shared" ref="I80" si="25">_xlfn.STDEV.S(C79:C83)</f>
        <v>7.0710678118654752E-2</v>
      </c>
      <c r="J80">
        <f t="shared" ref="J80" si="26">_xlfn.STDEV.S(D79:D83)</f>
        <v>4.4721359549995832E-3</v>
      </c>
      <c r="K80">
        <f t="shared" ref="K80" si="27">_xlfn.STDEV.S(E79:E83)</f>
        <v>18.406642007710058</v>
      </c>
    </row>
    <row r="81" spans="1:11" x14ac:dyDescent="0.3">
      <c r="A81">
        <v>3</v>
      </c>
      <c r="B81">
        <v>552.70000000000005</v>
      </c>
      <c r="C81">
        <v>17.600000000000001</v>
      </c>
      <c r="D81">
        <v>1.1399999999999999</v>
      </c>
      <c r="E81">
        <v>3140.95</v>
      </c>
      <c r="F81">
        <v>40</v>
      </c>
    </row>
    <row r="82" spans="1:11" x14ac:dyDescent="0.3">
      <c r="A82">
        <v>4</v>
      </c>
      <c r="B82">
        <v>552.01</v>
      </c>
      <c r="C82">
        <v>17.559999999999999</v>
      </c>
      <c r="D82">
        <v>1.1399999999999999</v>
      </c>
      <c r="E82">
        <v>3132.1</v>
      </c>
      <c r="F82">
        <v>40</v>
      </c>
    </row>
    <row r="83" spans="1:11" x14ac:dyDescent="0.3">
      <c r="A83">
        <v>5</v>
      </c>
      <c r="B83">
        <v>552.58000000000004</v>
      </c>
      <c r="C83">
        <v>17.54</v>
      </c>
      <c r="D83">
        <v>1.1399999999999999</v>
      </c>
      <c r="E83">
        <v>3119.64</v>
      </c>
      <c r="F83">
        <v>40</v>
      </c>
    </row>
    <row r="85" spans="1:11" x14ac:dyDescent="0.3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H85" t="s">
        <v>12</v>
      </c>
      <c r="I85" t="s">
        <v>13</v>
      </c>
      <c r="J85" t="s">
        <v>14</v>
      </c>
      <c r="K85" t="s">
        <v>15</v>
      </c>
    </row>
    <row r="86" spans="1:11" x14ac:dyDescent="0.3">
      <c r="A86">
        <v>1</v>
      </c>
      <c r="B86">
        <v>560.87</v>
      </c>
      <c r="C86">
        <v>8.51</v>
      </c>
      <c r="D86">
        <v>0.96</v>
      </c>
      <c r="E86">
        <v>3127.69</v>
      </c>
      <c r="F86">
        <v>20</v>
      </c>
      <c r="H86">
        <f>AVERAGE(B86:B90)</f>
        <v>560.94399999999996</v>
      </c>
      <c r="I86">
        <f>AVERAGE(C86:C90)</f>
        <v>7.2299999999999995</v>
      </c>
      <c r="J86">
        <f>AVERAGE(D86:D90)</f>
        <v>0.96</v>
      </c>
      <c r="K86">
        <f>AVERAGE(E86:E90)</f>
        <v>3098.826</v>
      </c>
    </row>
    <row r="87" spans="1:11" x14ac:dyDescent="0.3">
      <c r="A87">
        <v>2</v>
      </c>
      <c r="B87">
        <v>561.02</v>
      </c>
      <c r="C87">
        <v>7.1</v>
      </c>
      <c r="D87">
        <v>0.96</v>
      </c>
      <c r="E87">
        <v>3097.17</v>
      </c>
      <c r="F87">
        <v>20</v>
      </c>
      <c r="H87">
        <f>_xlfn.STDEV.S(B86:B90)</f>
        <v>9.633275663034753E-2</v>
      </c>
      <c r="I87">
        <f t="shared" ref="I87" si="28">_xlfn.STDEV.S(C86:C90)</f>
        <v>0.72439630037707947</v>
      </c>
      <c r="J87">
        <f t="shared" ref="J87" si="29">_xlfn.STDEV.S(D86:D90)</f>
        <v>0</v>
      </c>
      <c r="K87">
        <f t="shared" ref="K87" si="30">_xlfn.STDEV.S(E86:E90)</f>
        <v>16.532086377708065</v>
      </c>
    </row>
    <row r="88" spans="1:11" x14ac:dyDescent="0.3">
      <c r="A88">
        <v>3</v>
      </c>
      <c r="B88">
        <v>560.91</v>
      </c>
      <c r="C88">
        <v>6.89</v>
      </c>
      <c r="D88">
        <v>0.96</v>
      </c>
      <c r="E88">
        <v>3090.71</v>
      </c>
      <c r="F88">
        <v>20</v>
      </c>
    </row>
    <row r="89" spans="1:11" x14ac:dyDescent="0.3">
      <c r="A89">
        <v>4</v>
      </c>
      <c r="B89">
        <v>560.85</v>
      </c>
      <c r="C89">
        <v>6.82</v>
      </c>
      <c r="D89">
        <v>0.96</v>
      </c>
      <c r="E89">
        <v>3091.43</v>
      </c>
      <c r="F89">
        <v>20</v>
      </c>
    </row>
    <row r="90" spans="1:11" x14ac:dyDescent="0.3">
      <c r="A90">
        <v>5</v>
      </c>
      <c r="B90">
        <v>561.07000000000005</v>
      </c>
      <c r="C90">
        <v>6.83</v>
      </c>
      <c r="D90">
        <v>0.96</v>
      </c>
      <c r="E90">
        <v>3087.13</v>
      </c>
      <c r="F90">
        <v>20</v>
      </c>
    </row>
    <row r="91" spans="1:11" s="4" customFormat="1" x14ac:dyDescent="0.3"/>
    <row r="92" spans="1:11" x14ac:dyDescent="0.3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H92" t="s">
        <v>12</v>
      </c>
      <c r="I92" t="s">
        <v>13</v>
      </c>
      <c r="J92" t="s">
        <v>14</v>
      </c>
      <c r="K92" t="s">
        <v>15</v>
      </c>
    </row>
    <row r="93" spans="1:11" x14ac:dyDescent="0.3">
      <c r="A93">
        <v>1</v>
      </c>
      <c r="B93">
        <v>295.12</v>
      </c>
      <c r="C93">
        <v>40.57</v>
      </c>
      <c r="D93">
        <v>1.1599999999999999</v>
      </c>
      <c r="E93">
        <v>2604.6799999999998</v>
      </c>
      <c r="F93">
        <v>100</v>
      </c>
      <c r="H93">
        <f>AVERAGE(B93:B97)</f>
        <v>294.96400000000006</v>
      </c>
      <c r="I93">
        <f>AVERAGE(C93:C97)</f>
        <v>40.6</v>
      </c>
      <c r="J93">
        <f>AVERAGE(D93:D97)</f>
        <v>1.1579999999999999</v>
      </c>
      <c r="K93">
        <f>AVERAGE(E93:E97)</f>
        <v>2591.4319999999998</v>
      </c>
    </row>
    <row r="94" spans="1:11" x14ac:dyDescent="0.3">
      <c r="A94">
        <v>2</v>
      </c>
      <c r="B94">
        <v>295.17</v>
      </c>
      <c r="C94">
        <v>40.57</v>
      </c>
      <c r="D94">
        <v>1.1499999999999999</v>
      </c>
      <c r="E94">
        <v>2590.5100000000002</v>
      </c>
      <c r="F94">
        <v>100</v>
      </c>
      <c r="H94">
        <f>_xlfn.STDEV.S(B93:B97)</f>
        <v>0.5522046722004319</v>
      </c>
      <c r="I94">
        <f t="shared" ref="I94" si="31">_xlfn.STDEV.S(C93:C97)</f>
        <v>3.6742346141746159E-2</v>
      </c>
      <c r="J94">
        <f t="shared" ref="J94" si="32">_xlfn.STDEV.S(D93:D97)</f>
        <v>4.4721359549995832E-3</v>
      </c>
      <c r="K94">
        <f t="shared" ref="K94" si="33">_xlfn.STDEV.S(E93:E97)</f>
        <v>7.7016212578910412</v>
      </c>
    </row>
    <row r="95" spans="1:11" x14ac:dyDescent="0.3">
      <c r="A95">
        <v>3</v>
      </c>
      <c r="B95">
        <v>295.7</v>
      </c>
      <c r="C95">
        <v>40.6</v>
      </c>
      <c r="D95">
        <v>1.1599999999999999</v>
      </c>
      <c r="E95">
        <v>2589.5</v>
      </c>
      <c r="F95">
        <v>100</v>
      </c>
    </row>
    <row r="96" spans="1:11" x14ac:dyDescent="0.3">
      <c r="A96">
        <v>4</v>
      </c>
      <c r="B96">
        <v>294.48</v>
      </c>
      <c r="C96">
        <v>40.6</v>
      </c>
      <c r="D96">
        <v>1.1599999999999999</v>
      </c>
      <c r="E96">
        <v>2584.98</v>
      </c>
      <c r="F96">
        <v>100</v>
      </c>
    </row>
    <row r="97" spans="1:11" x14ac:dyDescent="0.3">
      <c r="A97">
        <v>5</v>
      </c>
      <c r="B97">
        <v>294.35000000000002</v>
      </c>
      <c r="C97">
        <v>40.659999999999997</v>
      </c>
      <c r="D97">
        <v>1.1599999999999999</v>
      </c>
      <c r="E97">
        <v>2587.4899999999998</v>
      </c>
      <c r="F97">
        <v>100</v>
      </c>
    </row>
    <row r="99" spans="1:11" x14ac:dyDescent="0.3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H99" t="s">
        <v>12</v>
      </c>
      <c r="I99" t="s">
        <v>13</v>
      </c>
      <c r="J99" t="s">
        <v>14</v>
      </c>
      <c r="K99" t="s">
        <v>15</v>
      </c>
    </row>
    <row r="100" spans="1:11" x14ac:dyDescent="0.3">
      <c r="A100">
        <v>1</v>
      </c>
      <c r="B100">
        <v>311.61</v>
      </c>
      <c r="C100">
        <v>37.76</v>
      </c>
      <c r="D100">
        <v>1.1399999999999999</v>
      </c>
      <c r="E100">
        <v>2583.48</v>
      </c>
      <c r="F100">
        <v>80</v>
      </c>
      <c r="H100">
        <f>AVERAGE(B100:B104)</f>
        <v>311.56399999999996</v>
      </c>
      <c r="I100">
        <f>AVERAGE(C100:C104)</f>
        <v>37.697999999999993</v>
      </c>
      <c r="J100">
        <f>AVERAGE(D100:D104)</f>
        <v>1.1379999999999999</v>
      </c>
      <c r="K100">
        <f>AVERAGE(E100:E104)</f>
        <v>2566.6959999999999</v>
      </c>
    </row>
    <row r="101" spans="1:11" x14ac:dyDescent="0.3">
      <c r="A101">
        <v>2</v>
      </c>
      <c r="B101">
        <v>311.62</v>
      </c>
      <c r="C101">
        <v>37.72</v>
      </c>
      <c r="D101">
        <v>1.1399999999999999</v>
      </c>
      <c r="E101">
        <v>2562.62</v>
      </c>
      <c r="F101">
        <v>80</v>
      </c>
      <c r="H101">
        <f>_xlfn.STDEV.S(B100:B104)</f>
        <v>0.61002458966831297</v>
      </c>
      <c r="I101">
        <f t="shared" ref="I101" si="34">_xlfn.STDEV.S(C100:C104)</f>
        <v>9.4973680564670385E-2</v>
      </c>
      <c r="J101">
        <f t="shared" ref="J101" si="35">_xlfn.STDEV.S(D100:D104)</f>
        <v>4.4721359549995832E-3</v>
      </c>
      <c r="K101">
        <f t="shared" ref="K101" si="36">_xlfn.STDEV.S(E100:E104)</f>
        <v>9.3914977506252999</v>
      </c>
    </row>
    <row r="102" spans="1:11" x14ac:dyDescent="0.3">
      <c r="A102">
        <v>3</v>
      </c>
      <c r="B102">
        <v>310.56</v>
      </c>
      <c r="C102">
        <v>37.78</v>
      </c>
      <c r="D102">
        <v>1.1399999999999999</v>
      </c>
      <c r="E102">
        <v>2562.13</v>
      </c>
      <c r="F102">
        <v>80</v>
      </c>
    </row>
    <row r="103" spans="1:11" x14ac:dyDescent="0.3">
      <c r="A103">
        <v>4</v>
      </c>
      <c r="B103">
        <v>312.2</v>
      </c>
      <c r="C103">
        <v>37.69</v>
      </c>
      <c r="D103">
        <v>1.1299999999999999</v>
      </c>
      <c r="E103">
        <v>2563.12</v>
      </c>
      <c r="F103">
        <v>80</v>
      </c>
    </row>
    <row r="104" spans="1:11" x14ac:dyDescent="0.3">
      <c r="A104">
        <v>5</v>
      </c>
      <c r="B104">
        <v>311.83</v>
      </c>
      <c r="C104">
        <v>37.54</v>
      </c>
      <c r="D104">
        <v>1.1399999999999999</v>
      </c>
      <c r="E104">
        <v>2562.13</v>
      </c>
      <c r="F104">
        <v>80</v>
      </c>
    </row>
    <row r="105" spans="1:11" x14ac:dyDescent="0.3">
      <c r="A105">
        <v>6</v>
      </c>
      <c r="B105">
        <v>313.11</v>
      </c>
      <c r="C105">
        <v>37.65</v>
      </c>
      <c r="D105">
        <v>1.1299999999999999</v>
      </c>
      <c r="E105">
        <v>2563.12</v>
      </c>
      <c r="F105">
        <v>80</v>
      </c>
    </row>
    <row r="107" spans="1:11" x14ac:dyDescent="0.3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H107" t="s">
        <v>12</v>
      </c>
      <c r="I107" t="s">
        <v>13</v>
      </c>
      <c r="J107" t="s">
        <v>14</v>
      </c>
      <c r="K107" t="s">
        <v>15</v>
      </c>
    </row>
    <row r="108" spans="1:11" x14ac:dyDescent="0.3">
      <c r="A108">
        <v>1</v>
      </c>
      <c r="B108">
        <v>341.71</v>
      </c>
      <c r="C108">
        <v>30.59</v>
      </c>
      <c r="D108">
        <v>1.06</v>
      </c>
      <c r="E108">
        <v>2567.06</v>
      </c>
      <c r="F108">
        <v>60</v>
      </c>
      <c r="H108">
        <f>AVERAGE(B108:B112)</f>
        <v>342.06000000000006</v>
      </c>
      <c r="I108">
        <f>AVERAGE(C108:C112)</f>
        <v>30.435999999999996</v>
      </c>
      <c r="J108">
        <f>AVERAGE(D108:D112)</f>
        <v>1.054</v>
      </c>
      <c r="K108">
        <f>AVERAGE(E108:E112)</f>
        <v>2560.7640000000001</v>
      </c>
    </row>
    <row r="109" spans="1:11" x14ac:dyDescent="0.3">
      <c r="A109">
        <v>2</v>
      </c>
      <c r="B109">
        <v>342.38</v>
      </c>
      <c r="C109">
        <v>30.54</v>
      </c>
      <c r="D109">
        <v>1.05</v>
      </c>
      <c r="E109">
        <v>2553.79</v>
      </c>
      <c r="F109">
        <v>60</v>
      </c>
      <c r="H109">
        <f>_xlfn.STDEV.S(B108:B112)</f>
        <v>0.44266239957783715</v>
      </c>
      <c r="I109">
        <f t="shared" ref="I109" si="37">_xlfn.STDEV.S(C108:C112)</f>
        <v>0.12461942063739467</v>
      </c>
      <c r="J109">
        <f t="shared" ref="J109" si="38">_xlfn.STDEV.S(D108:D112)</f>
        <v>5.4772255750516665E-3</v>
      </c>
      <c r="K109">
        <f t="shared" ref="K109" si="39">_xlfn.STDEV.S(E108:E112)</f>
        <v>5.7353317253668665</v>
      </c>
    </row>
    <row r="110" spans="1:11" x14ac:dyDescent="0.3">
      <c r="A110">
        <v>3</v>
      </c>
      <c r="B110">
        <v>342.39</v>
      </c>
      <c r="C110">
        <v>30.32</v>
      </c>
      <c r="D110">
        <v>1.06</v>
      </c>
      <c r="E110">
        <v>2555.75</v>
      </c>
      <c r="F110">
        <v>60</v>
      </c>
    </row>
    <row r="111" spans="1:11" x14ac:dyDescent="0.3">
      <c r="A111">
        <v>4</v>
      </c>
      <c r="B111">
        <v>341.46</v>
      </c>
      <c r="C111">
        <v>30.41</v>
      </c>
      <c r="D111">
        <v>1.05</v>
      </c>
      <c r="E111">
        <v>2564.6</v>
      </c>
      <c r="F111">
        <v>60</v>
      </c>
    </row>
    <row r="112" spans="1:11" x14ac:dyDescent="0.3">
      <c r="A112">
        <v>5</v>
      </c>
      <c r="B112">
        <v>342.36</v>
      </c>
      <c r="C112">
        <v>30.32</v>
      </c>
      <c r="D112">
        <v>1.05</v>
      </c>
      <c r="E112">
        <v>2562.62</v>
      </c>
      <c r="F112">
        <v>60</v>
      </c>
    </row>
    <row r="114" spans="1:11" x14ac:dyDescent="0.3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H114" t="s">
        <v>12</v>
      </c>
      <c r="I114" t="s">
        <v>13</v>
      </c>
      <c r="J114" t="s">
        <v>14</v>
      </c>
      <c r="K114" t="s">
        <v>15</v>
      </c>
    </row>
    <row r="115" spans="1:11" x14ac:dyDescent="0.3">
      <c r="A115">
        <v>1</v>
      </c>
      <c r="B115">
        <v>381.05</v>
      </c>
      <c r="C115">
        <v>14.64</v>
      </c>
      <c r="D115">
        <v>0.83</v>
      </c>
      <c r="E115">
        <v>2582.98</v>
      </c>
      <c r="F115">
        <v>40</v>
      </c>
      <c r="H115">
        <f>AVERAGE(B115:B119)</f>
        <v>381.05600000000004</v>
      </c>
      <c r="I115">
        <f>AVERAGE(C115:C119)</f>
        <v>14.604000000000003</v>
      </c>
      <c r="J115">
        <f>AVERAGE(D115:D119)</f>
        <v>0.82799999999999996</v>
      </c>
      <c r="K115">
        <f>AVERAGE(E115:E119)</f>
        <v>2578.7359999999999</v>
      </c>
    </row>
    <row r="116" spans="1:11" x14ac:dyDescent="0.3">
      <c r="A116">
        <v>2</v>
      </c>
      <c r="B116">
        <v>380.76</v>
      </c>
      <c r="C116">
        <v>14.72</v>
      </c>
      <c r="D116">
        <v>0.83</v>
      </c>
      <c r="E116">
        <v>2596.0500000000002</v>
      </c>
      <c r="F116">
        <v>40</v>
      </c>
      <c r="H116">
        <f>_xlfn.STDEV.S(B115:B119)</f>
        <v>0.37367097826832146</v>
      </c>
      <c r="I116">
        <f t="shared" ref="I116" si="40">_xlfn.STDEV.S(C115:C119)</f>
        <v>8.6197447758039933E-2</v>
      </c>
      <c r="J116">
        <f t="shared" ref="J116" si="41">_xlfn.STDEV.S(D115:D119)</f>
        <v>4.4721359549995832E-3</v>
      </c>
      <c r="K116">
        <f t="shared" ref="K116" si="42">_xlfn.STDEV.S(E115:E119)</f>
        <v>13.130572340914958</v>
      </c>
    </row>
    <row r="117" spans="1:11" x14ac:dyDescent="0.3">
      <c r="A117">
        <v>3</v>
      </c>
      <c r="B117">
        <v>381.36</v>
      </c>
      <c r="C117">
        <v>14.56</v>
      </c>
      <c r="D117">
        <v>0.82</v>
      </c>
      <c r="E117">
        <v>2581.98</v>
      </c>
      <c r="F117">
        <v>40</v>
      </c>
    </row>
    <row r="118" spans="1:11" x14ac:dyDescent="0.3">
      <c r="A118">
        <v>4</v>
      </c>
      <c r="B118">
        <v>381.49</v>
      </c>
      <c r="C118">
        <v>14.49</v>
      </c>
      <c r="D118">
        <v>0.83</v>
      </c>
      <c r="E118">
        <v>2571.52</v>
      </c>
      <c r="F118">
        <v>40</v>
      </c>
    </row>
    <row r="119" spans="1:11" x14ac:dyDescent="0.3">
      <c r="A119">
        <v>5</v>
      </c>
      <c r="B119">
        <v>380.62</v>
      </c>
      <c r="C119">
        <v>14.61</v>
      </c>
      <c r="D119">
        <v>0.83</v>
      </c>
      <c r="E119">
        <v>2561.15</v>
      </c>
      <c r="F119">
        <v>40</v>
      </c>
    </row>
    <row r="121" spans="1:11" x14ac:dyDescent="0.3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H121" t="s">
        <v>12</v>
      </c>
      <c r="I121" t="s">
        <v>13</v>
      </c>
      <c r="J121" t="s">
        <v>14</v>
      </c>
      <c r="K121" t="s">
        <v>15</v>
      </c>
    </row>
    <row r="122" spans="1:11" x14ac:dyDescent="0.3">
      <c r="A122">
        <v>1</v>
      </c>
      <c r="B122">
        <v>387.4</v>
      </c>
      <c r="C122">
        <v>5.41</v>
      </c>
      <c r="D122">
        <v>0.71</v>
      </c>
      <c r="E122">
        <v>2593.02</v>
      </c>
      <c r="F122">
        <v>20</v>
      </c>
      <c r="H122">
        <f>AVERAGE(B122:B126)</f>
        <v>387.52600000000001</v>
      </c>
      <c r="I122">
        <f>AVERAGE(C122:C126)</f>
        <v>5.3839999999999995</v>
      </c>
      <c r="J122">
        <f>AVERAGE(D122:D126)</f>
        <v>0.70399999999999996</v>
      </c>
      <c r="K122">
        <f>AVERAGE(E122:E126)</f>
        <v>2601.0360000000001</v>
      </c>
    </row>
    <row r="123" spans="1:11" x14ac:dyDescent="0.3">
      <c r="A123">
        <v>2</v>
      </c>
      <c r="B123">
        <v>387.84</v>
      </c>
      <c r="C123">
        <v>5.42</v>
      </c>
      <c r="D123">
        <v>0.7</v>
      </c>
      <c r="E123">
        <v>2604.17</v>
      </c>
      <c r="F123">
        <v>20</v>
      </c>
      <c r="H123">
        <f>_xlfn.STDEV.S(B122:B126)</f>
        <v>0.41422216261325367</v>
      </c>
      <c r="I123">
        <f t="shared" ref="I123" si="43">_xlfn.STDEV.S(C122:C126)</f>
        <v>5.7271284253105341E-2</v>
      </c>
      <c r="J123">
        <f t="shared" ref="J123" si="44">_xlfn.STDEV.S(D122:D126)</f>
        <v>5.4772255750516656E-3</v>
      </c>
      <c r="K123">
        <f t="shared" ref="K123" si="45">_xlfn.STDEV.S(E122:E126)</f>
        <v>7.9179372313753404</v>
      </c>
    </row>
    <row r="124" spans="1:11" x14ac:dyDescent="0.3">
      <c r="A124">
        <v>3</v>
      </c>
      <c r="B124">
        <v>388.04</v>
      </c>
      <c r="C124">
        <v>5.37</v>
      </c>
      <c r="D124">
        <v>0.7</v>
      </c>
      <c r="E124">
        <v>2611.31</v>
      </c>
      <c r="F124">
        <v>20</v>
      </c>
    </row>
    <row r="125" spans="1:11" x14ac:dyDescent="0.3">
      <c r="A125">
        <v>4</v>
      </c>
      <c r="B125">
        <v>387.35</v>
      </c>
      <c r="C125">
        <v>5.43</v>
      </c>
      <c r="D125">
        <v>0.71</v>
      </c>
      <c r="E125">
        <v>2603.66</v>
      </c>
      <c r="F125">
        <v>20</v>
      </c>
    </row>
    <row r="126" spans="1:11" x14ac:dyDescent="0.3">
      <c r="A126">
        <v>5</v>
      </c>
      <c r="B126">
        <v>387</v>
      </c>
      <c r="C126">
        <v>5.29</v>
      </c>
      <c r="D126">
        <v>0.7</v>
      </c>
      <c r="E126">
        <v>2593.02</v>
      </c>
      <c r="F126">
        <v>20</v>
      </c>
    </row>
    <row r="127" spans="1:11" s="4" customFormat="1" x14ac:dyDescent="0.3"/>
    <row r="128" spans="1:11" x14ac:dyDescent="0.3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H128" t="s">
        <v>12</v>
      </c>
      <c r="I128" t="s">
        <v>13</v>
      </c>
      <c r="J128" t="s">
        <v>14</v>
      </c>
      <c r="K128" t="s">
        <v>15</v>
      </c>
    </row>
    <row r="129" spans="1:11" x14ac:dyDescent="0.3">
      <c r="A129">
        <v>1</v>
      </c>
      <c r="B129">
        <v>188.38</v>
      </c>
      <c r="C129">
        <v>32.5</v>
      </c>
      <c r="D129">
        <v>0.78</v>
      </c>
      <c r="E129">
        <v>2050.02</v>
      </c>
      <c r="F129">
        <v>100</v>
      </c>
      <c r="H129">
        <f>AVERAGE(B129:B133)</f>
        <v>189.11600000000001</v>
      </c>
      <c r="I129">
        <f>AVERAGE(C129:C133)</f>
        <v>32.463999999999999</v>
      </c>
      <c r="J129">
        <f>AVERAGE(D129:D133)</f>
        <v>0.77799999999999991</v>
      </c>
      <c r="K129">
        <f>AVERAGE(E129:E133)</f>
        <v>2063.6880000000001</v>
      </c>
    </row>
    <row r="130" spans="1:11" x14ac:dyDescent="0.3">
      <c r="A130">
        <v>2</v>
      </c>
      <c r="B130">
        <v>190.98</v>
      </c>
      <c r="C130">
        <v>32.49</v>
      </c>
      <c r="D130">
        <v>0.78</v>
      </c>
      <c r="E130">
        <v>2063.98</v>
      </c>
      <c r="F130">
        <v>100</v>
      </c>
      <c r="H130">
        <f>_xlfn.STDEV.S(B129:B133)</f>
        <v>1.0851866198953943</v>
      </c>
      <c r="I130">
        <f t="shared" ref="I130" si="46">_xlfn.STDEV.S(C129:C133)</f>
        <v>3.7815340802379666E-2</v>
      </c>
      <c r="J130">
        <f t="shared" ref="J130" si="47">_xlfn.STDEV.S(D129:D133)</f>
        <v>4.4721359549995832E-3</v>
      </c>
      <c r="K130">
        <f t="shared" ref="K130" si="48">_xlfn.STDEV.S(E129:E133)</f>
        <v>15.134646345389143</v>
      </c>
    </row>
    <row r="131" spans="1:11" x14ac:dyDescent="0.3">
      <c r="A131">
        <v>3</v>
      </c>
      <c r="B131">
        <v>189.13</v>
      </c>
      <c r="C131">
        <v>32.44</v>
      </c>
      <c r="D131">
        <v>0.78</v>
      </c>
      <c r="E131">
        <v>2074.58</v>
      </c>
      <c r="F131">
        <v>100</v>
      </c>
    </row>
    <row r="132" spans="1:11" x14ac:dyDescent="0.3">
      <c r="A132">
        <v>4</v>
      </c>
      <c r="B132">
        <v>188.69</v>
      </c>
      <c r="C132">
        <v>32.479999999999997</v>
      </c>
      <c r="D132">
        <v>0.77</v>
      </c>
      <c r="E132">
        <v>2047.5</v>
      </c>
      <c r="F132">
        <v>100</v>
      </c>
    </row>
    <row r="133" spans="1:11" x14ac:dyDescent="0.3">
      <c r="A133">
        <v>5</v>
      </c>
      <c r="B133">
        <v>188.4</v>
      </c>
      <c r="C133">
        <v>32.409999999999997</v>
      </c>
      <c r="D133">
        <v>0.78</v>
      </c>
      <c r="E133">
        <v>2082.36</v>
      </c>
      <c r="F133">
        <v>100</v>
      </c>
    </row>
    <row r="135" spans="1:11" x14ac:dyDescent="0.3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H135" t="s">
        <v>12</v>
      </c>
      <c r="I135" t="s">
        <v>13</v>
      </c>
      <c r="J135" t="s">
        <v>14</v>
      </c>
      <c r="K135" t="s">
        <v>15</v>
      </c>
    </row>
    <row r="136" spans="1:11" x14ac:dyDescent="0.3">
      <c r="A136">
        <v>1</v>
      </c>
      <c r="B136">
        <v>199.11</v>
      </c>
      <c r="C136">
        <v>30.1</v>
      </c>
      <c r="D136">
        <v>0.76</v>
      </c>
      <c r="E136">
        <v>2078.14</v>
      </c>
      <c r="F136">
        <v>80</v>
      </c>
      <c r="H136">
        <f>AVERAGE(B136:B140)</f>
        <v>199.29599999999999</v>
      </c>
      <c r="I136">
        <f>AVERAGE(C136:C140)</f>
        <v>30.082000000000004</v>
      </c>
      <c r="J136">
        <f>AVERAGE(D136:D140)</f>
        <v>0.76</v>
      </c>
      <c r="K136">
        <f>AVERAGE(E136:E140)</f>
        <v>2067.0879999999997</v>
      </c>
    </row>
    <row r="137" spans="1:11" x14ac:dyDescent="0.3">
      <c r="A137">
        <v>2</v>
      </c>
      <c r="B137">
        <v>199.71</v>
      </c>
      <c r="C137">
        <v>30.13</v>
      </c>
      <c r="D137">
        <v>0.76</v>
      </c>
      <c r="E137">
        <v>2060.4699999999998</v>
      </c>
      <c r="F137">
        <v>80</v>
      </c>
      <c r="H137">
        <f>_xlfn.STDEV.S(B136:B140)</f>
        <v>0.52170873099843829</v>
      </c>
      <c r="I137">
        <f t="shared" ref="I137" si="49">_xlfn.STDEV.S(C136:C140)</f>
        <v>5.3103672189407224E-2</v>
      </c>
      <c r="J137">
        <f t="shared" ref="J137" si="50">_xlfn.STDEV.S(D136:D140)</f>
        <v>0</v>
      </c>
      <c r="K137">
        <f t="shared" ref="K137" si="51">_xlfn.STDEV.S(E136:E140)</f>
        <v>9.4496597822355586</v>
      </c>
    </row>
    <row r="138" spans="1:11" x14ac:dyDescent="0.3">
      <c r="A138">
        <v>3</v>
      </c>
      <c r="B138">
        <v>198.6</v>
      </c>
      <c r="C138">
        <v>30.06</v>
      </c>
      <c r="D138">
        <v>0.76</v>
      </c>
      <c r="E138">
        <v>2066.2199999999998</v>
      </c>
      <c r="F138">
        <v>80</v>
      </c>
    </row>
    <row r="139" spans="1:11" x14ac:dyDescent="0.3">
      <c r="A139">
        <v>4</v>
      </c>
      <c r="B139">
        <v>199.91</v>
      </c>
      <c r="C139">
        <v>30.12</v>
      </c>
      <c r="D139">
        <v>0.76</v>
      </c>
      <c r="E139">
        <v>2074.9</v>
      </c>
      <c r="F139">
        <v>80</v>
      </c>
    </row>
    <row r="140" spans="1:11" x14ac:dyDescent="0.3">
      <c r="A140">
        <v>5</v>
      </c>
      <c r="B140">
        <v>199.15</v>
      </c>
      <c r="C140">
        <v>30</v>
      </c>
      <c r="D140">
        <v>0.76</v>
      </c>
      <c r="E140">
        <v>2055.71</v>
      </c>
      <c r="F140">
        <v>80</v>
      </c>
    </row>
    <row r="142" spans="1:11" x14ac:dyDescent="0.3">
      <c r="A142" t="s">
        <v>11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H142" t="s">
        <v>12</v>
      </c>
      <c r="I142" t="s">
        <v>13</v>
      </c>
      <c r="J142" t="s">
        <v>14</v>
      </c>
      <c r="K142" t="s">
        <v>15</v>
      </c>
    </row>
    <row r="143" spans="1:11" x14ac:dyDescent="0.3">
      <c r="A143">
        <v>1</v>
      </c>
      <c r="B143">
        <v>219.19</v>
      </c>
      <c r="C143">
        <v>24.04</v>
      </c>
      <c r="D143">
        <v>0.71</v>
      </c>
      <c r="E143">
        <v>2052.5500000000002</v>
      </c>
      <c r="F143">
        <v>60</v>
      </c>
      <c r="H143">
        <f>AVERAGE(B143:B147)</f>
        <v>219.82599999999996</v>
      </c>
      <c r="I143">
        <f>AVERAGE(C143:C147)</f>
        <v>23.994</v>
      </c>
      <c r="J143">
        <f>AVERAGE(D143:D147)</f>
        <v>0.71</v>
      </c>
      <c r="K143">
        <f>AVERAGE(E143:E147)</f>
        <v>2066.3960000000002</v>
      </c>
    </row>
    <row r="144" spans="1:11" x14ac:dyDescent="0.3">
      <c r="A144">
        <v>2</v>
      </c>
      <c r="B144">
        <v>219.35</v>
      </c>
      <c r="C144">
        <v>23.98</v>
      </c>
      <c r="D144">
        <v>0.71</v>
      </c>
      <c r="E144">
        <v>2078.46</v>
      </c>
      <c r="F144">
        <v>60</v>
      </c>
      <c r="H144">
        <f>_xlfn.STDEV.S(B143:B147)</f>
        <v>0.66425145841014077</v>
      </c>
      <c r="I144">
        <f t="shared" ref="I144" si="52">_xlfn.STDEV.S(C143:C147)</f>
        <v>2.792848008753767E-2</v>
      </c>
      <c r="J144">
        <f t="shared" ref="J144" si="53">_xlfn.STDEV.S(D143:D147)</f>
        <v>0</v>
      </c>
      <c r="K144">
        <f t="shared" ref="K144" si="54">_xlfn.STDEV.S(E143:E147)</f>
        <v>10.741123311832871</v>
      </c>
    </row>
    <row r="145" spans="1:11" x14ac:dyDescent="0.3">
      <c r="A145">
        <v>3</v>
      </c>
      <c r="B145">
        <v>220.23</v>
      </c>
      <c r="C145">
        <v>23.98</v>
      </c>
      <c r="D145">
        <v>0.71</v>
      </c>
      <c r="E145">
        <v>2057.9299999999998</v>
      </c>
      <c r="F145">
        <v>60</v>
      </c>
    </row>
    <row r="146" spans="1:11" x14ac:dyDescent="0.3">
      <c r="A146">
        <v>4</v>
      </c>
      <c r="B146">
        <v>220.78</v>
      </c>
      <c r="C146">
        <v>23.97</v>
      </c>
      <c r="D146">
        <v>0.71</v>
      </c>
      <c r="E146">
        <v>2071.36</v>
      </c>
      <c r="F146">
        <v>60</v>
      </c>
    </row>
    <row r="147" spans="1:11" x14ac:dyDescent="0.3">
      <c r="A147">
        <v>5</v>
      </c>
      <c r="B147">
        <v>219.58</v>
      </c>
      <c r="C147">
        <v>24</v>
      </c>
      <c r="D147">
        <v>0.71</v>
      </c>
      <c r="E147">
        <v>2071.6799999999998</v>
      </c>
      <c r="F147">
        <v>60</v>
      </c>
    </row>
    <row r="149" spans="1:11" x14ac:dyDescent="0.3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H149" t="s">
        <v>12</v>
      </c>
      <c r="I149" t="s">
        <v>13</v>
      </c>
      <c r="J149" t="s">
        <v>14</v>
      </c>
      <c r="K149" t="s">
        <v>15</v>
      </c>
    </row>
    <row r="150" spans="1:11" x14ac:dyDescent="0.3">
      <c r="A150">
        <v>1</v>
      </c>
      <c r="B150">
        <v>243.91</v>
      </c>
      <c r="C150">
        <v>11.63</v>
      </c>
      <c r="D150">
        <v>0.56000000000000005</v>
      </c>
      <c r="E150">
        <v>2049.08</v>
      </c>
      <c r="F150">
        <v>40</v>
      </c>
      <c r="H150">
        <f>AVERAGE(B150:B154)</f>
        <v>243.792</v>
      </c>
      <c r="I150">
        <f>AVERAGE(C150:C154)</f>
        <v>11.565999999999999</v>
      </c>
      <c r="J150">
        <f>AVERAGE(D150:D154)</f>
        <v>0.56799999999999984</v>
      </c>
      <c r="K150">
        <f>AVERAGE(E150:E154)</f>
        <v>2065.2379999999998</v>
      </c>
    </row>
    <row r="151" spans="1:11" x14ac:dyDescent="0.3">
      <c r="A151">
        <v>2</v>
      </c>
      <c r="B151">
        <v>243.51</v>
      </c>
      <c r="C151">
        <v>11.6</v>
      </c>
      <c r="D151">
        <v>0.56999999999999995</v>
      </c>
      <c r="E151">
        <v>2075.87</v>
      </c>
      <c r="F151">
        <v>40</v>
      </c>
      <c r="H151">
        <f>_xlfn.STDEV.S(B150:B154)</f>
        <v>0.16006248779773741</v>
      </c>
      <c r="I151">
        <f t="shared" ref="I151" si="55">_xlfn.STDEV.S(C150:C154)</f>
        <v>4.8785243670602253E-2</v>
      </c>
      <c r="J151">
        <f t="shared" ref="J151" si="56">_xlfn.STDEV.S(D150:D154)</f>
        <v>4.4721359549995338E-3</v>
      </c>
      <c r="K151">
        <f t="shared" ref="K151" si="57">_xlfn.STDEV.S(E150:E154)</f>
        <v>10.229223821972008</v>
      </c>
    </row>
    <row r="152" spans="1:11" x14ac:dyDescent="0.3">
      <c r="A152">
        <v>3</v>
      </c>
      <c r="B152">
        <v>243.84</v>
      </c>
      <c r="C152">
        <v>11.52</v>
      </c>
      <c r="D152">
        <v>0.56999999999999995</v>
      </c>
      <c r="E152">
        <v>2063.66</v>
      </c>
      <c r="F152">
        <v>40</v>
      </c>
    </row>
    <row r="153" spans="1:11" x14ac:dyDescent="0.3">
      <c r="A153">
        <v>4</v>
      </c>
      <c r="B153">
        <v>243.85</v>
      </c>
      <c r="C153">
        <v>11.52</v>
      </c>
      <c r="D153">
        <v>0.56999999999999995</v>
      </c>
      <c r="E153">
        <v>2071.6799999999998</v>
      </c>
      <c r="F153">
        <v>40</v>
      </c>
    </row>
    <row r="154" spans="1:11" x14ac:dyDescent="0.3">
      <c r="A154">
        <v>5</v>
      </c>
      <c r="B154">
        <v>243.85</v>
      </c>
      <c r="C154">
        <v>11.56</v>
      </c>
      <c r="D154">
        <v>0.56999999999999995</v>
      </c>
      <c r="E154">
        <v>2065.9</v>
      </c>
      <c r="F154">
        <v>40</v>
      </c>
    </row>
    <row r="155" spans="1:11" x14ac:dyDescent="0.3">
      <c r="A155">
        <v>6</v>
      </c>
      <c r="B155">
        <v>244.26</v>
      </c>
      <c r="C155">
        <v>11.53</v>
      </c>
      <c r="D155">
        <v>0.56999999999999995</v>
      </c>
      <c r="E155">
        <v>2066.86</v>
      </c>
      <c r="F155">
        <v>40</v>
      </c>
    </row>
    <row r="157" spans="1:11" x14ac:dyDescent="0.3">
      <c r="A157" t="s">
        <v>11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H157" t="s">
        <v>12</v>
      </c>
      <c r="I157" t="s">
        <v>13</v>
      </c>
      <c r="J157" t="s">
        <v>14</v>
      </c>
      <c r="K157" t="s">
        <v>15</v>
      </c>
    </row>
    <row r="158" spans="1:11" x14ac:dyDescent="0.3">
      <c r="A158">
        <v>1</v>
      </c>
      <c r="B158">
        <v>247.9</v>
      </c>
      <c r="C158">
        <v>4.45</v>
      </c>
      <c r="D158">
        <v>0.49</v>
      </c>
      <c r="E158">
        <v>2075.23</v>
      </c>
      <c r="F158">
        <v>20</v>
      </c>
      <c r="H158">
        <f>AVERAGE(B158:B162)</f>
        <v>248.17999999999998</v>
      </c>
      <c r="I158">
        <f>AVERAGE(C158:C162)</f>
        <v>4.4539999999999988</v>
      </c>
      <c r="J158">
        <f>AVERAGE(D158:D162)</f>
        <v>0.49000000000000005</v>
      </c>
      <c r="K158">
        <f>AVERAGE(E158:E162)</f>
        <v>2071.3059999999996</v>
      </c>
    </row>
    <row r="159" spans="1:11" x14ac:dyDescent="0.3">
      <c r="A159">
        <v>2</v>
      </c>
      <c r="B159">
        <v>247.94</v>
      </c>
      <c r="C159">
        <v>4.43</v>
      </c>
      <c r="D159">
        <v>0.49</v>
      </c>
      <c r="E159">
        <v>2077.4899999999998</v>
      </c>
      <c r="F159">
        <v>20</v>
      </c>
      <c r="H159">
        <f>_xlfn.STDEV.S(B158:B162)</f>
        <v>0.24259018941416807</v>
      </c>
      <c r="I159">
        <f t="shared" ref="I159" si="58">_xlfn.STDEV.S(C158:C162)</f>
        <v>1.6733200530681475E-2</v>
      </c>
      <c r="J159">
        <f t="shared" ref="J159" si="59">_xlfn.STDEV.S(D158:D162)</f>
        <v>6.2063353831181828E-17</v>
      </c>
      <c r="K159">
        <f t="shared" ref="K159" si="60">_xlfn.STDEV.S(E158:E162)</f>
        <v>5.9187017157481545</v>
      </c>
    </row>
    <row r="160" spans="1:11" x14ac:dyDescent="0.3">
      <c r="A160">
        <v>3</v>
      </c>
      <c r="B160">
        <v>248.43</v>
      </c>
      <c r="C160">
        <v>4.47</v>
      </c>
      <c r="D160">
        <v>0.49</v>
      </c>
      <c r="E160">
        <v>2066.54</v>
      </c>
      <c r="F160">
        <v>20</v>
      </c>
    </row>
    <row r="161" spans="1:11" x14ac:dyDescent="0.3">
      <c r="A161">
        <v>4</v>
      </c>
      <c r="B161">
        <v>248.3</v>
      </c>
      <c r="C161">
        <v>4.47</v>
      </c>
      <c r="D161">
        <v>0.49</v>
      </c>
      <c r="E161">
        <v>2073.61</v>
      </c>
      <c r="F161">
        <v>20</v>
      </c>
    </row>
    <row r="162" spans="1:11" x14ac:dyDescent="0.3">
      <c r="A162">
        <v>5</v>
      </c>
      <c r="B162">
        <v>248.33</v>
      </c>
      <c r="C162">
        <v>4.45</v>
      </c>
      <c r="D162">
        <v>0.49</v>
      </c>
      <c r="E162">
        <v>2063.66</v>
      </c>
      <c r="F162">
        <v>20</v>
      </c>
    </row>
    <row r="163" spans="1:11" x14ac:dyDescent="0.3">
      <c r="A163">
        <v>6</v>
      </c>
      <c r="B163">
        <v>248.47</v>
      </c>
      <c r="C163">
        <v>4.41</v>
      </c>
      <c r="D163">
        <v>0.48</v>
      </c>
      <c r="E163">
        <v>2072</v>
      </c>
      <c r="F163">
        <v>20</v>
      </c>
    </row>
    <row r="164" spans="1:11" s="4" customFormat="1" x14ac:dyDescent="0.3"/>
    <row r="165" spans="1:11" x14ac:dyDescent="0.3">
      <c r="A165" t="s">
        <v>11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H165" t="s">
        <v>12</v>
      </c>
      <c r="I165" t="s">
        <v>13</v>
      </c>
      <c r="J165" t="s">
        <v>14</v>
      </c>
      <c r="K165" t="s">
        <v>15</v>
      </c>
    </row>
    <row r="166" spans="1:11" x14ac:dyDescent="0.3">
      <c r="A166">
        <v>1</v>
      </c>
      <c r="B166">
        <v>107.13</v>
      </c>
      <c r="C166">
        <v>24.28</v>
      </c>
      <c r="D166">
        <v>0.48</v>
      </c>
      <c r="E166">
        <v>1561.83</v>
      </c>
      <c r="F166">
        <v>100</v>
      </c>
      <c r="H166">
        <f>AVERAGE(B166:B170)</f>
        <v>107.02000000000001</v>
      </c>
      <c r="I166">
        <f>AVERAGE(C166:C170)</f>
        <v>24.28</v>
      </c>
      <c r="J166">
        <f>AVERAGE(D166:D170)</f>
        <v>0.48</v>
      </c>
      <c r="K166">
        <f>AVERAGE(E166:E170)</f>
        <v>1546.606</v>
      </c>
    </row>
    <row r="167" spans="1:11" x14ac:dyDescent="0.3">
      <c r="A167">
        <v>2</v>
      </c>
      <c r="B167">
        <v>106.61</v>
      </c>
      <c r="C167">
        <v>24.31</v>
      </c>
      <c r="D167">
        <v>0.48</v>
      </c>
      <c r="E167">
        <v>1551.29</v>
      </c>
      <c r="F167">
        <v>100</v>
      </c>
      <c r="H167">
        <f>_xlfn.STDEV.S(B166:B170)</f>
        <v>0.28213471959331909</v>
      </c>
      <c r="I167">
        <f t="shared" ref="I167" si="61">_xlfn.STDEV.S(C166:C170)</f>
        <v>2.2360679774997418E-2</v>
      </c>
      <c r="J167">
        <f t="shared" ref="J167" si="62">_xlfn.STDEV.S(D166:D170)</f>
        <v>0</v>
      </c>
      <c r="K167">
        <f t="shared" ref="K167" si="63">_xlfn.STDEV.S(E166:E170)</f>
        <v>11.413600658863064</v>
      </c>
    </row>
    <row r="168" spans="1:11" x14ac:dyDescent="0.3">
      <c r="A168">
        <v>3</v>
      </c>
      <c r="B168">
        <v>107.37</v>
      </c>
      <c r="C168">
        <v>24.25</v>
      </c>
      <c r="D168">
        <v>0.48</v>
      </c>
      <c r="E168">
        <v>1539.11</v>
      </c>
      <c r="F168">
        <v>100</v>
      </c>
    </row>
    <row r="169" spans="1:11" x14ac:dyDescent="0.3">
      <c r="A169">
        <v>4</v>
      </c>
      <c r="B169">
        <v>106.91</v>
      </c>
      <c r="C169">
        <v>24.27</v>
      </c>
      <c r="D169">
        <v>0.48</v>
      </c>
      <c r="E169">
        <v>1532.21</v>
      </c>
      <c r="F169">
        <v>100</v>
      </c>
    </row>
    <row r="170" spans="1:11" x14ac:dyDescent="0.3">
      <c r="A170">
        <v>5</v>
      </c>
      <c r="B170">
        <v>107.08</v>
      </c>
      <c r="C170">
        <v>24.29</v>
      </c>
      <c r="D170">
        <v>0.48</v>
      </c>
      <c r="E170">
        <v>1548.59</v>
      </c>
      <c r="F170">
        <v>100</v>
      </c>
    </row>
    <row r="172" spans="1:11" x14ac:dyDescent="0.3">
      <c r="A172" t="s">
        <v>11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H172" t="s">
        <v>12</v>
      </c>
      <c r="I172" t="s">
        <v>13</v>
      </c>
      <c r="J172" t="s">
        <v>14</v>
      </c>
      <c r="K172" t="s">
        <v>15</v>
      </c>
    </row>
    <row r="173" spans="1:11" x14ac:dyDescent="0.3">
      <c r="A173">
        <v>1</v>
      </c>
      <c r="B173">
        <v>112</v>
      </c>
      <c r="C173">
        <v>22.56</v>
      </c>
      <c r="D173">
        <v>0.47</v>
      </c>
      <c r="E173">
        <v>1559.09</v>
      </c>
      <c r="F173">
        <v>80</v>
      </c>
      <c r="H173">
        <f>AVERAGE(B173:B177)</f>
        <v>112.03399999999999</v>
      </c>
      <c r="I173">
        <f>AVERAGE(C173:C177)</f>
        <v>22.590000000000003</v>
      </c>
      <c r="J173">
        <f>AVERAGE(D173:D177)</f>
        <v>0.47199999999999998</v>
      </c>
      <c r="K173">
        <f>AVERAGE(E173:E177)</f>
        <v>1549.2379999999998</v>
      </c>
    </row>
    <row r="174" spans="1:11" x14ac:dyDescent="0.3">
      <c r="A174">
        <v>2</v>
      </c>
      <c r="B174">
        <v>112.56</v>
      </c>
      <c r="C174">
        <v>22.58</v>
      </c>
      <c r="D174">
        <v>0.48</v>
      </c>
      <c r="E174">
        <v>1537.69</v>
      </c>
      <c r="F174">
        <v>80</v>
      </c>
      <c r="H174">
        <f>_xlfn.STDEV.S(B173:B177)</f>
        <v>0.31698580409854271</v>
      </c>
      <c r="I174">
        <f t="shared" ref="I174" si="64">_xlfn.STDEV.S(C173:C177)</f>
        <v>3.5355339059327126E-2</v>
      </c>
      <c r="J174">
        <f t="shared" ref="J174" si="65">_xlfn.STDEV.S(D173:D177)</f>
        <v>4.4721359549995832E-3</v>
      </c>
      <c r="K174">
        <f t="shared" ref="K174" si="66">_xlfn.STDEV.S(E173:E177)</f>
        <v>12.065832752031637</v>
      </c>
    </row>
    <row r="175" spans="1:11" x14ac:dyDescent="0.3">
      <c r="A175">
        <v>3</v>
      </c>
      <c r="B175">
        <v>112.04</v>
      </c>
      <c r="C175">
        <v>22.57</v>
      </c>
      <c r="D175">
        <v>0.47</v>
      </c>
      <c r="E175">
        <v>1536.81</v>
      </c>
      <c r="F175">
        <v>80</v>
      </c>
    </row>
    <row r="176" spans="1:11" x14ac:dyDescent="0.3">
      <c r="A176">
        <v>4</v>
      </c>
      <c r="B176">
        <v>111.78</v>
      </c>
      <c r="C176">
        <v>22.59</v>
      </c>
      <c r="D176">
        <v>0.47</v>
      </c>
      <c r="E176">
        <v>1549.31</v>
      </c>
      <c r="F176">
        <v>80</v>
      </c>
    </row>
    <row r="177" spans="1:11" x14ac:dyDescent="0.3">
      <c r="A177">
        <v>5</v>
      </c>
      <c r="B177">
        <v>111.79</v>
      </c>
      <c r="C177">
        <v>22.65</v>
      </c>
      <c r="D177">
        <v>0.47</v>
      </c>
      <c r="E177">
        <v>1563.29</v>
      </c>
      <c r="F177">
        <v>80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 t="s">
        <v>16</v>
      </c>
      <c r="H179" t="s">
        <v>12</v>
      </c>
      <c r="I179" t="s">
        <v>13</v>
      </c>
      <c r="J179" t="s">
        <v>14</v>
      </c>
      <c r="K179" t="s">
        <v>15</v>
      </c>
    </row>
    <row r="180" spans="1:11" x14ac:dyDescent="0.3">
      <c r="A180">
        <v>1</v>
      </c>
      <c r="B180">
        <v>124.42</v>
      </c>
      <c r="C180">
        <v>17.760000000000002</v>
      </c>
      <c r="D180">
        <v>0.44</v>
      </c>
      <c r="E180">
        <v>1544.1</v>
      </c>
      <c r="F180">
        <v>60</v>
      </c>
      <c r="H180">
        <f>AVERAGE(B180:B184)</f>
        <v>124.306</v>
      </c>
      <c r="I180">
        <f>AVERAGE(C180:C184)</f>
        <v>17.726000000000003</v>
      </c>
      <c r="J180">
        <f>AVERAGE(D180:D184)</f>
        <v>0.44000000000000006</v>
      </c>
      <c r="K180">
        <f>AVERAGE(E180:E184)</f>
        <v>1548.3</v>
      </c>
    </row>
    <row r="181" spans="1:11" x14ac:dyDescent="0.3">
      <c r="A181">
        <v>2</v>
      </c>
      <c r="B181">
        <v>124.28</v>
      </c>
      <c r="C181">
        <v>17.72</v>
      </c>
      <c r="D181">
        <v>0.44</v>
      </c>
      <c r="E181">
        <v>1559.82</v>
      </c>
      <c r="F181">
        <v>60</v>
      </c>
      <c r="H181">
        <f>_xlfn.STDEV.S(B180:B184)</f>
        <v>0.20144478151592998</v>
      </c>
      <c r="I181">
        <f t="shared" ref="I181" si="67">_xlfn.STDEV.S(C180:C184)</f>
        <v>2.1908902300207637E-2</v>
      </c>
      <c r="J181">
        <f t="shared" ref="J181" si="68">_xlfn.STDEV.S(D180:D184)</f>
        <v>6.2063353831181828E-17</v>
      </c>
      <c r="K181">
        <f t="shared" ref="K181" si="69">_xlfn.STDEV.S(E180:E184)</f>
        <v>12.072657122605611</v>
      </c>
    </row>
    <row r="182" spans="1:11" x14ac:dyDescent="0.3">
      <c r="A182">
        <v>3</v>
      </c>
      <c r="B182">
        <v>124.54</v>
      </c>
      <c r="C182">
        <v>17.7</v>
      </c>
      <c r="D182">
        <v>0.44</v>
      </c>
      <c r="E182">
        <v>1560.91</v>
      </c>
      <c r="F182">
        <v>60</v>
      </c>
    </row>
    <row r="183" spans="1:11" x14ac:dyDescent="0.3">
      <c r="A183">
        <v>4</v>
      </c>
      <c r="B183">
        <v>124</v>
      </c>
      <c r="C183">
        <v>17.73</v>
      </c>
      <c r="D183">
        <v>0.44</v>
      </c>
      <c r="E183">
        <v>1544.46</v>
      </c>
      <c r="F183">
        <v>60</v>
      </c>
    </row>
    <row r="184" spans="1:11" x14ac:dyDescent="0.3">
      <c r="A184">
        <v>5</v>
      </c>
      <c r="B184">
        <v>124.29</v>
      </c>
      <c r="C184">
        <v>17.72</v>
      </c>
      <c r="D184">
        <v>0.44</v>
      </c>
      <c r="E184">
        <v>1532.21</v>
      </c>
      <c r="F184">
        <v>60</v>
      </c>
    </row>
    <row r="186" spans="1:11" x14ac:dyDescent="0.3">
      <c r="A186" t="s">
        <v>11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H186" t="s">
        <v>12</v>
      </c>
      <c r="I186" t="s">
        <v>13</v>
      </c>
      <c r="J186" t="s">
        <v>14</v>
      </c>
      <c r="K186" t="s">
        <v>15</v>
      </c>
    </row>
    <row r="187" spans="1:11" x14ac:dyDescent="0.3">
      <c r="A187">
        <v>1</v>
      </c>
      <c r="B187">
        <v>137.18</v>
      </c>
      <c r="C187">
        <v>8.6999999999999993</v>
      </c>
      <c r="D187">
        <v>0.36</v>
      </c>
      <c r="E187">
        <v>1538.22</v>
      </c>
      <c r="F187">
        <v>40</v>
      </c>
      <c r="H187">
        <f>AVERAGE(B187:B191)</f>
        <v>137.21200000000002</v>
      </c>
      <c r="I187">
        <f>AVERAGE(C187:C191)</f>
        <v>8.6259999999999994</v>
      </c>
      <c r="J187">
        <f>AVERAGE(D187:D191)</f>
        <v>0.36</v>
      </c>
      <c r="K187">
        <f>AVERAGE(E187:E191)</f>
        <v>1551.2380000000001</v>
      </c>
    </row>
    <row r="188" spans="1:11" x14ac:dyDescent="0.3">
      <c r="A188">
        <v>2</v>
      </c>
      <c r="B188">
        <v>137.37</v>
      </c>
      <c r="C188">
        <v>8.64</v>
      </c>
      <c r="D188">
        <v>0.36</v>
      </c>
      <c r="E188">
        <v>1543.39</v>
      </c>
      <c r="F188">
        <v>40</v>
      </c>
      <c r="H188">
        <f>_xlfn.STDEV.S(B187:B191)</f>
        <v>0.3449202806446745</v>
      </c>
      <c r="I188">
        <f t="shared" ref="I188" si="70">_xlfn.STDEV.S(C187:C191)</f>
        <v>4.6151923036857168E-2</v>
      </c>
      <c r="J188">
        <f t="shared" ref="J188" si="71">_xlfn.STDEV.S(D187:D191)</f>
        <v>0</v>
      </c>
      <c r="K188">
        <f t="shared" ref="K188" si="72">_xlfn.STDEV.S(E187:E191)</f>
        <v>10.553135553000347</v>
      </c>
    </row>
    <row r="189" spans="1:11" x14ac:dyDescent="0.3">
      <c r="A189">
        <v>3</v>
      </c>
      <c r="B189">
        <v>136.75</v>
      </c>
      <c r="C189">
        <v>8.61</v>
      </c>
      <c r="D189">
        <v>0.36</v>
      </c>
      <c r="E189">
        <v>1555.45</v>
      </c>
      <c r="F189">
        <v>40</v>
      </c>
    </row>
    <row r="190" spans="1:11" x14ac:dyDescent="0.3">
      <c r="A190">
        <v>4</v>
      </c>
      <c r="B190">
        <v>137.68</v>
      </c>
      <c r="C190">
        <v>8.59</v>
      </c>
      <c r="D190">
        <v>0.36</v>
      </c>
      <c r="E190">
        <v>1564.95</v>
      </c>
      <c r="F190">
        <v>40</v>
      </c>
    </row>
    <row r="191" spans="1:11" x14ac:dyDescent="0.3">
      <c r="A191">
        <v>5</v>
      </c>
      <c r="B191">
        <v>137.08000000000001</v>
      </c>
      <c r="C191">
        <v>8.59</v>
      </c>
      <c r="D191">
        <v>0.36</v>
      </c>
      <c r="E191">
        <v>1554.18</v>
      </c>
      <c r="F191">
        <v>40</v>
      </c>
    </row>
    <row r="193" spans="1:11" x14ac:dyDescent="0.3">
      <c r="A193" t="s">
        <v>11</v>
      </c>
      <c r="B193" t="s">
        <v>12</v>
      </c>
      <c r="C193" t="s">
        <v>13</v>
      </c>
      <c r="D193" t="s">
        <v>14</v>
      </c>
      <c r="E193" t="s">
        <v>15</v>
      </c>
      <c r="F193" t="s">
        <v>16</v>
      </c>
      <c r="H193" t="s">
        <v>12</v>
      </c>
      <c r="I193" t="s">
        <v>13</v>
      </c>
      <c r="J193" t="s">
        <v>14</v>
      </c>
      <c r="K193" t="s">
        <v>15</v>
      </c>
    </row>
    <row r="194" spans="1:11" x14ac:dyDescent="0.3">
      <c r="A194">
        <v>1</v>
      </c>
      <c r="B194">
        <v>139.38</v>
      </c>
      <c r="C194">
        <v>3.31</v>
      </c>
      <c r="D194">
        <v>0.32</v>
      </c>
      <c r="E194">
        <v>1549.85</v>
      </c>
      <c r="F194">
        <v>20</v>
      </c>
      <c r="H194">
        <f>AVERAGE(B194:B198)</f>
        <v>139.392</v>
      </c>
      <c r="I194">
        <f>AVERAGE(C194:C198)</f>
        <v>3.2879999999999994</v>
      </c>
      <c r="J194">
        <f>AVERAGE(D194:D198)</f>
        <v>0.318</v>
      </c>
      <c r="K194">
        <f>AVERAGE(E194:E198)</f>
        <v>1550.2339999999999</v>
      </c>
    </row>
    <row r="195" spans="1:11" x14ac:dyDescent="0.3">
      <c r="A195">
        <v>2</v>
      </c>
      <c r="B195">
        <v>139.32</v>
      </c>
      <c r="C195">
        <v>3.3</v>
      </c>
      <c r="D195">
        <v>0.32</v>
      </c>
      <c r="E195">
        <v>1535.92</v>
      </c>
      <c r="F195">
        <v>20</v>
      </c>
      <c r="H195">
        <f>_xlfn.STDEV.S(B194:B198)</f>
        <v>5.7183913821981874E-2</v>
      </c>
      <c r="I195">
        <f t="shared" ref="I195" si="73">_xlfn.STDEV.S(C194:C198)</f>
        <v>1.6431676725155012E-2</v>
      </c>
      <c r="J195">
        <f t="shared" ref="J195" si="74">_xlfn.STDEV.S(D194:D198)</f>
        <v>4.4721359549995832E-3</v>
      </c>
      <c r="K195">
        <f t="shared" ref="K195" si="75">_xlfn.STDEV.S(E194:E198)</f>
        <v>10.857832656658454</v>
      </c>
    </row>
    <row r="196" spans="1:11" x14ac:dyDescent="0.3">
      <c r="A196">
        <v>3</v>
      </c>
      <c r="B196">
        <v>139.38999999999999</v>
      </c>
      <c r="C196">
        <v>3.28</v>
      </c>
      <c r="D196">
        <v>0.32</v>
      </c>
      <c r="E196">
        <v>1543.75</v>
      </c>
      <c r="F196">
        <v>20</v>
      </c>
    </row>
    <row r="197" spans="1:11" x14ac:dyDescent="0.3">
      <c r="A197">
        <v>4</v>
      </c>
      <c r="B197">
        <v>139.38999999999999</v>
      </c>
      <c r="C197">
        <v>3.27</v>
      </c>
      <c r="D197">
        <v>0.31</v>
      </c>
      <c r="E197">
        <v>1560.55</v>
      </c>
      <c r="F197">
        <v>20</v>
      </c>
    </row>
    <row r="198" spans="1:11" x14ac:dyDescent="0.3">
      <c r="A198">
        <v>5</v>
      </c>
      <c r="B198">
        <v>139.47999999999999</v>
      </c>
      <c r="C198">
        <v>3.28</v>
      </c>
      <c r="D198">
        <v>0.32</v>
      </c>
      <c r="E198">
        <v>1561.1</v>
      </c>
      <c r="F198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6" ma:contentTypeDescription="Create a new document." ma:contentTypeScope="" ma:versionID="e0ddce4d701c03847d5cb501e96bac43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ead1012ff8cc52330ef8d7307275abb8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39DB2D-7CC3-42A0-B4AD-34730E06D0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7C1C80-C8BB-4A05-A91B-976630EB8B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E2A19D-F375-40CF-97A6-47E53D76A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melab2 [M E]</dc:creator>
  <cp:keywords/>
  <dc:description/>
  <cp:lastModifiedBy>Michael</cp:lastModifiedBy>
  <cp:revision/>
  <dcterms:created xsi:type="dcterms:W3CDTF">2021-04-21T15:25:34Z</dcterms:created>
  <dcterms:modified xsi:type="dcterms:W3CDTF">2021-04-23T16:56:29Z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