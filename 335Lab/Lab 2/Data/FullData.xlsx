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Class Work\Current\ME335\335 Lab\Lab 2\Data\"/>
    </mc:Choice>
  </mc:AlternateContent>
  <xr:revisionPtr revIDLastSave="0" documentId="13_ncr:1_{B0E15287-1BDC-48AD-B4BF-DDAB20C48DAA}" xr6:coauthVersionLast="46" xr6:coauthVersionMax="46" xr10:uidLastSave="{00000000-0000-0000-0000-000000000000}"/>
  <bookViews>
    <workbookView xWindow="-12030" yWindow="5370" windowWidth="18435" windowHeight="9765" xr2:uid="{00000000-000D-0000-FFFF-FFFF00000000}"/>
  </bookViews>
  <sheets>
    <sheet name="Group2_ra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79" i="1" l="1"/>
  <c r="M178" i="1"/>
  <c r="K2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8" i="1"/>
  <c r="K59" i="1"/>
  <c r="K60" i="1"/>
  <c r="K61" i="1"/>
  <c r="K62" i="1"/>
  <c r="K53" i="1"/>
  <c r="K54" i="1"/>
  <c r="K55" i="1"/>
  <c r="K56" i="1"/>
  <c r="K57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13" i="1"/>
  <c r="K114" i="1"/>
  <c r="K115" i="1"/>
  <c r="K116" i="1"/>
  <c r="K117" i="1"/>
  <c r="K108" i="1"/>
  <c r="K109" i="1"/>
  <c r="K110" i="1"/>
  <c r="K111" i="1"/>
  <c r="K112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18" i="1"/>
  <c r="L419" i="1"/>
  <c r="L420" i="1"/>
  <c r="L421" i="1"/>
  <c r="L422" i="1"/>
  <c r="L423" i="1"/>
  <c r="L424" i="1"/>
  <c r="L425" i="1"/>
  <c r="L426" i="1"/>
  <c r="L427" i="1"/>
  <c r="L428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173" i="1"/>
  <c r="L174" i="1"/>
  <c r="L175" i="1"/>
  <c r="L176" i="1"/>
  <c r="L177" i="1"/>
  <c r="L183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03" i="1"/>
  <c r="L104" i="1"/>
  <c r="L105" i="1"/>
  <c r="L106" i="1"/>
  <c r="L107" i="1"/>
  <c r="L113" i="1"/>
  <c r="L114" i="1"/>
  <c r="L115" i="1"/>
  <c r="L116" i="1"/>
  <c r="L117" i="1"/>
  <c r="L108" i="1"/>
  <c r="L109" i="1"/>
  <c r="L110" i="1"/>
  <c r="L111" i="1"/>
  <c r="L112" i="1"/>
  <c r="L118" i="1"/>
  <c r="L119" i="1"/>
  <c r="L120" i="1"/>
  <c r="L121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58" i="1"/>
  <c r="L59" i="1"/>
  <c r="L60" i="1"/>
  <c r="L61" i="1"/>
  <c r="L62" i="1"/>
  <c r="L53" i="1"/>
  <c r="L54" i="1"/>
  <c r="L55" i="1"/>
  <c r="L56" i="1"/>
  <c r="L57" i="1"/>
  <c r="L63" i="1"/>
  <c r="L64" i="1"/>
  <c r="L65" i="1"/>
  <c r="L66" i="1"/>
  <c r="L67" i="1"/>
  <c r="L68" i="1"/>
  <c r="L69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28" i="1"/>
  <c r="L29" i="1"/>
  <c r="L30" i="1"/>
  <c r="L31" i="1"/>
  <c r="L32" i="1"/>
  <c r="L33" i="1"/>
  <c r="L34" i="1"/>
  <c r="L35" i="1"/>
  <c r="L36" i="1"/>
  <c r="L37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" i="1"/>
  <c r="N473" i="1" l="1"/>
  <c r="N493" i="1"/>
  <c r="N464" i="1"/>
  <c r="N453" i="1"/>
  <c r="N44" i="1"/>
  <c r="N454" i="1"/>
  <c r="N478" i="1"/>
  <c r="N498" i="1"/>
  <c r="N474" i="1"/>
  <c r="N458" i="1"/>
  <c r="N494" i="1"/>
  <c r="N469" i="1"/>
  <c r="N489" i="1"/>
  <c r="N484" i="1"/>
  <c r="N504" i="1"/>
  <c r="N459" i="1"/>
  <c r="N479" i="1"/>
  <c r="N499" i="1"/>
  <c r="N463" i="1"/>
  <c r="N483" i="1"/>
  <c r="N503" i="1"/>
  <c r="N429" i="1"/>
  <c r="N468" i="1"/>
  <c r="N488" i="1"/>
  <c r="N19" i="1"/>
  <c r="N39" i="1"/>
  <c r="N134" i="1"/>
  <c r="N144" i="1"/>
  <c r="N434" i="1"/>
  <c r="M189" i="1"/>
  <c r="M104" i="1"/>
  <c r="M64" i="1"/>
  <c r="M364" i="1"/>
  <c r="M324" i="1"/>
  <c r="M284" i="1"/>
  <c r="N229" i="1"/>
  <c r="M79" i="1"/>
  <c r="N9" i="1"/>
  <c r="N124" i="1"/>
  <c r="N409" i="1"/>
  <c r="M219" i="1"/>
  <c r="M174" i="1"/>
  <c r="N149" i="1"/>
  <c r="N244" i="1"/>
  <c r="N394" i="1"/>
  <c r="N419" i="1"/>
  <c r="N439" i="1"/>
  <c r="M194" i="1"/>
  <c r="M114" i="1"/>
  <c r="M69" i="1"/>
  <c r="M369" i="1"/>
  <c r="M329" i="1"/>
  <c r="M289" i="1"/>
  <c r="N29" i="1"/>
  <c r="N59" i="1"/>
  <c r="N164" i="1"/>
  <c r="N269" i="1"/>
  <c r="M204" i="1"/>
  <c r="M379" i="1"/>
  <c r="M94" i="1"/>
  <c r="M354" i="1"/>
  <c r="M314" i="1"/>
  <c r="N24" i="1"/>
  <c r="N34" i="1"/>
  <c r="N54" i="1"/>
  <c r="N169" i="1"/>
  <c r="N234" i="1"/>
  <c r="N259" i="1"/>
  <c r="N274" i="1"/>
  <c r="M209" i="1"/>
  <c r="M84" i="1"/>
  <c r="M384" i="1"/>
  <c r="M344" i="1"/>
  <c r="M304" i="1"/>
  <c r="N14" i="1"/>
  <c r="N139" i="1"/>
  <c r="N414" i="1"/>
  <c r="M224" i="1"/>
  <c r="N49" i="1"/>
  <c r="N119" i="1"/>
  <c r="N154" i="1"/>
  <c r="N159" i="1"/>
  <c r="N249" i="1"/>
  <c r="N264" i="1"/>
  <c r="N399" i="1"/>
  <c r="N424" i="1"/>
  <c r="N444" i="1"/>
  <c r="M199" i="1"/>
  <c r="M109" i="1"/>
  <c r="M74" i="1"/>
  <c r="M374" i="1"/>
  <c r="M334" i="1"/>
  <c r="M294" i="1"/>
  <c r="N254" i="1"/>
  <c r="N448" i="1"/>
  <c r="M339" i="1"/>
  <c r="M299" i="1"/>
  <c r="N129" i="1"/>
  <c r="M184" i="1"/>
  <c r="M99" i="1"/>
  <c r="M359" i="1"/>
  <c r="M319" i="1"/>
  <c r="N239" i="1"/>
  <c r="N279" i="1"/>
  <c r="N404" i="1"/>
  <c r="M214" i="1"/>
  <c r="M89" i="1"/>
  <c r="M389" i="1"/>
  <c r="M349" i="1"/>
  <c r="M309" i="1"/>
  <c r="N449" i="1"/>
  <c r="N2" i="1"/>
  <c r="M98" i="1"/>
  <c r="M353" i="1"/>
  <c r="N118" i="1"/>
  <c r="N248" i="1"/>
  <c r="N403" i="1"/>
  <c r="N438" i="1"/>
  <c r="N123" i="1"/>
  <c r="N13" i="1"/>
  <c r="N38" i="1"/>
  <c r="N133" i="1"/>
  <c r="N263" i="1"/>
  <c r="N398" i="1"/>
  <c r="N413" i="1"/>
  <c r="N418" i="1"/>
  <c r="M223" i="1"/>
  <c r="M183" i="1"/>
  <c r="M113" i="1"/>
  <c r="M68" i="1"/>
  <c r="M358" i="1"/>
  <c r="M323" i="1"/>
  <c r="M283" i="1"/>
  <c r="N258" i="1"/>
  <c r="N23" i="1"/>
  <c r="M333" i="1"/>
  <c r="M293" i="1"/>
  <c r="N158" i="1"/>
  <c r="M88" i="1"/>
  <c r="N28" i="1"/>
  <c r="N43" i="1"/>
  <c r="N138" i="1"/>
  <c r="N163" i="1"/>
  <c r="N228" i="1"/>
  <c r="N268" i="1"/>
  <c r="N423" i="1"/>
  <c r="M188" i="1"/>
  <c r="M108" i="1"/>
  <c r="M73" i="1"/>
  <c r="M363" i="1"/>
  <c r="M328" i="1"/>
  <c r="M288" i="1"/>
  <c r="N143" i="1"/>
  <c r="N168" i="1"/>
  <c r="N233" i="1"/>
  <c r="N273" i="1"/>
  <c r="N428" i="1"/>
  <c r="M2" i="1"/>
  <c r="M193" i="1"/>
  <c r="M78" i="1"/>
  <c r="M368" i="1"/>
  <c r="N148" i="1"/>
  <c r="N238" i="1"/>
  <c r="N278" i="1"/>
  <c r="M198" i="1"/>
  <c r="M83" i="1"/>
  <c r="M338" i="1"/>
  <c r="M298" i="1"/>
  <c r="N48" i="1"/>
  <c r="N58" i="1"/>
  <c r="N153" i="1"/>
  <c r="M203" i="1"/>
  <c r="M373" i="1"/>
  <c r="M343" i="1"/>
  <c r="M303" i="1"/>
  <c r="N33" i="1"/>
  <c r="N8" i="1"/>
  <c r="N53" i="1"/>
  <c r="N128" i="1"/>
  <c r="N253" i="1"/>
  <c r="N243" i="1"/>
  <c r="N433" i="1"/>
  <c r="M213" i="1"/>
  <c r="M208" i="1"/>
  <c r="M93" i="1"/>
  <c r="M383" i="1"/>
  <c r="M378" i="1"/>
  <c r="M348" i="1"/>
  <c r="M308" i="1"/>
  <c r="M313" i="1"/>
  <c r="N18" i="1"/>
  <c r="N393" i="1"/>
  <c r="N408" i="1"/>
  <c r="N443" i="1"/>
  <c r="M218" i="1"/>
  <c r="M173" i="1"/>
  <c r="M103" i="1"/>
  <c r="M63" i="1"/>
  <c r="M388" i="1"/>
  <c r="M318" i="1"/>
</calcChain>
</file>

<file path=xl/sharedStrings.xml><?xml version="1.0" encoding="utf-8"?>
<sst xmlns="http://schemas.openxmlformats.org/spreadsheetml/2006/main" count="10" uniqueCount="10">
  <si>
    <t>Count</t>
  </si>
  <si>
    <t>Fan Speed (%)</t>
  </si>
  <si>
    <t>Wind Speed (MPH)</t>
  </si>
  <si>
    <t>X (in)</t>
  </si>
  <si>
    <t>Y (in)</t>
  </si>
  <si>
    <t>Temperature (C)</t>
  </si>
  <si>
    <t>Absolute Pressure (PSI)</t>
  </si>
  <si>
    <t>Differential X (Pa)</t>
  </si>
  <si>
    <t>Differential Y (Pa)</t>
  </si>
  <si>
    <t>density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</si>
</sst>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8"/>
  <sheetViews>
    <sheetView tabSelected="1" zoomScale="70" zoomScaleNormal="70" workbookViewId="0">
      <pane ySplit="1" topLeftCell="A402" activePane="bottomLeft" state="frozen"/>
      <selection pane="bottomLeft" activeCell="N444" sqref="N444"/>
    </sheetView>
  </sheetViews>
  <sheetFormatPr defaultRowHeight="14.4" x14ac:dyDescent="0.3"/>
  <cols>
    <col min="7" max="7" width="12.88671875" customWidth="1"/>
    <col min="8" max="8" width="15.77734375" bestFit="1" customWidth="1"/>
    <col min="9" max="9" width="15.6640625" bestFit="1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M1" t="s">
        <v>9</v>
      </c>
      <c r="N1">
        <v>1.121</v>
      </c>
    </row>
    <row r="2" spans="1:14" x14ac:dyDescent="0.3">
      <c r="A2">
        <v>1</v>
      </c>
      <c r="B2">
        <v>0</v>
      </c>
      <c r="C2">
        <v>0</v>
      </c>
      <c r="D2">
        <v>-2.68</v>
      </c>
      <c r="E2">
        <v>-2.68</v>
      </c>
      <c r="F2">
        <v>24.475000000000001</v>
      </c>
      <c r="G2">
        <v>13.907999999999999</v>
      </c>
      <c r="H2">
        <v>0.109</v>
      </c>
      <c r="I2">
        <v>1.9279999999999999</v>
      </c>
      <c r="K2">
        <f t="shared" ref="K2:K49" si="0">SQRT(2*(H2)/$N$1)</f>
        <v>0.44098664821877054</v>
      </c>
      <c r="L2">
        <f t="shared" ref="L2:L49" si="1">SQRT(2*(I2)/$N$1)</f>
        <v>1.8546659821761895</v>
      </c>
      <c r="M2">
        <f>AVERAGE(K2:K6)</f>
        <v>0.42338936131445121</v>
      </c>
      <c r="N2">
        <f>AVERAGE(L2:L6)</f>
        <v>1.8515781994493992</v>
      </c>
    </row>
    <row r="3" spans="1:14" x14ac:dyDescent="0.3">
      <c r="A3">
        <v>2</v>
      </c>
      <c r="B3">
        <v>0</v>
      </c>
      <c r="C3">
        <v>0</v>
      </c>
      <c r="D3">
        <v>-2.68</v>
      </c>
      <c r="E3">
        <v>-2.68</v>
      </c>
      <c r="F3">
        <v>24.65</v>
      </c>
      <c r="G3">
        <v>13.911</v>
      </c>
      <c r="H3">
        <v>9.0999999999999998E-2</v>
      </c>
      <c r="I3">
        <v>1.9279999999999999</v>
      </c>
      <c r="K3">
        <f t="shared" si="0"/>
        <v>0.4029330467245516</v>
      </c>
      <c r="L3">
        <f t="shared" si="1"/>
        <v>1.8546659821761895</v>
      </c>
    </row>
    <row r="4" spans="1:14" x14ac:dyDescent="0.3">
      <c r="A4">
        <v>3</v>
      </c>
      <c r="B4">
        <v>0</v>
      </c>
      <c r="C4">
        <v>0</v>
      </c>
      <c r="D4">
        <v>-2.68</v>
      </c>
      <c r="E4">
        <v>-2.68</v>
      </c>
      <c r="F4">
        <v>24.75</v>
      </c>
      <c r="G4">
        <v>13.907999999999999</v>
      </c>
      <c r="H4">
        <v>0.10299999999999999</v>
      </c>
      <c r="I4">
        <v>1.909</v>
      </c>
      <c r="K4">
        <f t="shared" si="0"/>
        <v>0.42867761311471236</v>
      </c>
      <c r="L4">
        <f t="shared" si="1"/>
        <v>1.8455047007138248</v>
      </c>
    </row>
    <row r="5" spans="1:14" x14ac:dyDescent="0.3">
      <c r="A5">
        <v>4</v>
      </c>
      <c r="B5">
        <v>0</v>
      </c>
      <c r="C5">
        <v>0</v>
      </c>
      <c r="D5">
        <v>-2.68</v>
      </c>
      <c r="E5">
        <v>-2.68</v>
      </c>
      <c r="F5">
        <v>24.774999999999999</v>
      </c>
      <c r="G5">
        <v>13.907999999999999</v>
      </c>
      <c r="H5">
        <v>0.11600000000000001</v>
      </c>
      <c r="I5">
        <v>1.909</v>
      </c>
      <c r="K5">
        <f t="shared" si="0"/>
        <v>0.45492644806493077</v>
      </c>
      <c r="L5">
        <f t="shared" si="1"/>
        <v>1.8455047007138248</v>
      </c>
    </row>
    <row r="6" spans="1:14" x14ac:dyDescent="0.3">
      <c r="A6">
        <v>5</v>
      </c>
      <c r="B6">
        <v>0</v>
      </c>
      <c r="C6">
        <v>0</v>
      </c>
      <c r="D6">
        <v>-2.68</v>
      </c>
      <c r="E6">
        <v>-2.68</v>
      </c>
      <c r="F6">
        <v>24.8</v>
      </c>
      <c r="G6">
        <v>13.907999999999999</v>
      </c>
      <c r="H6">
        <v>8.5000000000000006E-2</v>
      </c>
      <c r="I6">
        <v>1.9339999999999999</v>
      </c>
      <c r="K6">
        <f t="shared" si="0"/>
        <v>0.38942305044929099</v>
      </c>
      <c r="L6">
        <f t="shared" si="1"/>
        <v>1.8575496314669679</v>
      </c>
    </row>
    <row r="7" spans="1:14" ht="15" thickBot="1" x14ac:dyDescent="0.35">
      <c r="A7">
        <v>6</v>
      </c>
      <c r="B7">
        <v>0</v>
      </c>
      <c r="C7">
        <v>0</v>
      </c>
      <c r="D7">
        <v>-2.68</v>
      </c>
      <c r="E7">
        <v>-2.68</v>
      </c>
      <c r="F7">
        <v>24.75</v>
      </c>
      <c r="G7">
        <v>13.904999999999999</v>
      </c>
      <c r="H7">
        <v>0.11600000000000001</v>
      </c>
      <c r="I7">
        <v>1.903</v>
      </c>
      <c r="K7">
        <f t="shared" si="0"/>
        <v>0.45492644806493077</v>
      </c>
      <c r="L7">
        <f t="shared" si="1"/>
        <v>1.8426022013541949</v>
      </c>
    </row>
    <row r="8" spans="1:14" x14ac:dyDescent="0.3">
      <c r="A8" s="1">
        <v>1</v>
      </c>
      <c r="B8" s="2">
        <v>100</v>
      </c>
      <c r="C8" s="2">
        <v>25.61</v>
      </c>
      <c r="D8" s="2">
        <v>-2.68</v>
      </c>
      <c r="E8" s="2">
        <v>-2.87</v>
      </c>
      <c r="F8" s="2">
        <v>24.024999999999999</v>
      </c>
      <c r="G8" s="2">
        <v>13.907</v>
      </c>
      <c r="H8" s="2">
        <v>73.611000000000004</v>
      </c>
      <c r="I8" s="2">
        <v>48.49</v>
      </c>
      <c r="J8" s="2"/>
      <c r="K8" s="2">
        <f t="shared" si="0"/>
        <v>11.459971837003193</v>
      </c>
      <c r="L8" s="2">
        <f t="shared" si="1"/>
        <v>9.3011850222921435</v>
      </c>
      <c r="M8" s="2"/>
      <c r="N8" s="3">
        <f>AVERAGE(L8:L12)</f>
        <v>9.2258950857489932</v>
      </c>
    </row>
    <row r="9" spans="1:14" x14ac:dyDescent="0.3">
      <c r="A9" s="4">
        <v>2</v>
      </c>
      <c r="B9" s="5">
        <v>100</v>
      </c>
      <c r="C9" s="5">
        <v>25.5</v>
      </c>
      <c r="D9" s="5">
        <v>-2.68</v>
      </c>
      <c r="E9" s="5">
        <v>-2.87</v>
      </c>
      <c r="F9" s="5">
        <v>24.024999999999999</v>
      </c>
      <c r="G9" s="5">
        <v>13.914</v>
      </c>
      <c r="H9" s="5">
        <v>72.855999999999995</v>
      </c>
      <c r="I9" s="5">
        <v>48.07</v>
      </c>
      <c r="J9" s="5"/>
      <c r="K9" s="5">
        <f t="shared" si="0"/>
        <v>11.401050079186467</v>
      </c>
      <c r="L9" s="5">
        <f t="shared" si="1"/>
        <v>9.2608159394519216</v>
      </c>
      <c r="M9" s="5"/>
      <c r="N9" s="6">
        <f>STDEV(L8:L12)</f>
        <v>0.10175703640366275</v>
      </c>
    </row>
    <row r="10" spans="1:14" x14ac:dyDescent="0.3">
      <c r="A10" s="4">
        <v>3</v>
      </c>
      <c r="B10" s="5">
        <v>100</v>
      </c>
      <c r="C10" s="5">
        <v>25.4</v>
      </c>
      <c r="D10" s="5">
        <v>-2.68</v>
      </c>
      <c r="E10" s="5">
        <v>-2.87</v>
      </c>
      <c r="F10" s="5">
        <v>24</v>
      </c>
      <c r="G10" s="5">
        <v>13.903</v>
      </c>
      <c r="H10" s="5">
        <v>73.525000000000006</v>
      </c>
      <c r="I10" s="5">
        <v>46.902999999999999</v>
      </c>
      <c r="J10" s="5"/>
      <c r="K10" s="5">
        <f t="shared" si="0"/>
        <v>11.453275517133291</v>
      </c>
      <c r="L10" s="5">
        <f t="shared" si="1"/>
        <v>9.147712407136293</v>
      </c>
      <c r="M10" s="5"/>
      <c r="N10" s="6"/>
    </row>
    <row r="11" spans="1:14" x14ac:dyDescent="0.3">
      <c r="A11" s="4">
        <v>4</v>
      </c>
      <c r="B11" s="5">
        <v>100</v>
      </c>
      <c r="C11" s="5">
        <v>25.4</v>
      </c>
      <c r="D11" s="5">
        <v>-2.68</v>
      </c>
      <c r="E11" s="5">
        <v>-2.87</v>
      </c>
      <c r="F11" s="5">
        <v>24</v>
      </c>
      <c r="G11" s="5">
        <v>13.909000000000001</v>
      </c>
      <c r="H11" s="5">
        <v>69.542000000000002</v>
      </c>
      <c r="I11" s="5">
        <v>46.331000000000003</v>
      </c>
      <c r="J11" s="5"/>
      <c r="K11" s="5">
        <f t="shared" si="0"/>
        <v>11.13873264123033</v>
      </c>
      <c r="L11" s="5">
        <f t="shared" si="1"/>
        <v>9.0917613743703374</v>
      </c>
      <c r="M11" s="5"/>
      <c r="N11" s="6"/>
    </row>
    <row r="12" spans="1:14" x14ac:dyDescent="0.3">
      <c r="A12" s="4">
        <v>5</v>
      </c>
      <c r="B12" s="5">
        <v>100</v>
      </c>
      <c r="C12" s="5">
        <v>25.4</v>
      </c>
      <c r="D12" s="5">
        <v>-2.68</v>
      </c>
      <c r="E12" s="5">
        <v>-2.87</v>
      </c>
      <c r="F12" s="5">
        <v>24.05</v>
      </c>
      <c r="G12" s="5">
        <v>13.914</v>
      </c>
      <c r="H12" s="5">
        <v>74.388999999999996</v>
      </c>
      <c r="I12" s="5">
        <v>48.77</v>
      </c>
      <c r="J12" s="5"/>
      <c r="K12" s="5">
        <f t="shared" si="0"/>
        <v>11.520373296558608</v>
      </c>
      <c r="L12" s="5">
        <f t="shared" si="1"/>
        <v>9.3280006854942723</v>
      </c>
      <c r="M12" s="5"/>
      <c r="N12" s="6"/>
    </row>
    <row r="13" spans="1:14" x14ac:dyDescent="0.3">
      <c r="A13" s="4">
        <v>1</v>
      </c>
      <c r="B13" s="5">
        <v>100</v>
      </c>
      <c r="C13" s="5">
        <v>25.24</v>
      </c>
      <c r="D13" s="5">
        <v>-2.68</v>
      </c>
      <c r="E13" s="5">
        <v>-2.52</v>
      </c>
      <c r="F13" s="5">
        <v>24.25</v>
      </c>
      <c r="G13" s="5">
        <v>13.901999999999999</v>
      </c>
      <c r="H13" s="5">
        <v>73.057000000000002</v>
      </c>
      <c r="I13" s="5">
        <v>75.033000000000001</v>
      </c>
      <c r="J13" s="5"/>
      <c r="K13" s="5">
        <f t="shared" si="0"/>
        <v>11.416766236263575</v>
      </c>
      <c r="L13" s="5">
        <f t="shared" si="1"/>
        <v>11.570132886976776</v>
      </c>
      <c r="M13" s="5"/>
      <c r="N13" s="6">
        <f>AVERAGE(L13:L17)</f>
        <v>11.618432956640964</v>
      </c>
    </row>
    <row r="14" spans="1:14" x14ac:dyDescent="0.3">
      <c r="A14" s="4">
        <v>2</v>
      </c>
      <c r="B14" s="5">
        <v>100</v>
      </c>
      <c r="C14" s="5">
        <v>25.19</v>
      </c>
      <c r="D14" s="5">
        <v>-2.68</v>
      </c>
      <c r="E14" s="5">
        <v>-2.52</v>
      </c>
      <c r="F14" s="5">
        <v>24.25</v>
      </c>
      <c r="G14" s="5">
        <v>13.907999999999999</v>
      </c>
      <c r="H14" s="5">
        <v>74.722999999999999</v>
      </c>
      <c r="I14" s="5">
        <v>76.796999999999997</v>
      </c>
      <c r="J14" s="5"/>
      <c r="K14" s="5">
        <f t="shared" si="0"/>
        <v>11.546207057429037</v>
      </c>
      <c r="L14" s="5">
        <f t="shared" si="1"/>
        <v>11.705347710820988</v>
      </c>
      <c r="M14" s="5"/>
      <c r="N14" s="6">
        <f>STDEV(L13:L17)</f>
        <v>0.11791719223133569</v>
      </c>
    </row>
    <row r="15" spans="1:14" x14ac:dyDescent="0.3">
      <c r="A15" s="4">
        <v>3</v>
      </c>
      <c r="B15" s="5">
        <v>100</v>
      </c>
      <c r="C15" s="5">
        <v>25.29</v>
      </c>
      <c r="D15" s="5">
        <v>-2.68</v>
      </c>
      <c r="E15" s="5">
        <v>-2.52</v>
      </c>
      <c r="F15" s="5">
        <v>24.25</v>
      </c>
      <c r="G15" s="5">
        <v>13.904999999999999</v>
      </c>
      <c r="H15" s="5">
        <v>73.561999999999998</v>
      </c>
      <c r="I15" s="5">
        <v>77.641999999999996</v>
      </c>
      <c r="J15" s="5"/>
      <c r="K15" s="5">
        <f t="shared" si="0"/>
        <v>11.456156971699283</v>
      </c>
      <c r="L15" s="5">
        <f t="shared" si="1"/>
        <v>11.769568706916715</v>
      </c>
      <c r="M15" s="5"/>
      <c r="N15" s="6"/>
    </row>
    <row r="16" spans="1:14" x14ac:dyDescent="0.3">
      <c r="A16" s="4">
        <v>4</v>
      </c>
      <c r="B16" s="5">
        <v>100</v>
      </c>
      <c r="C16" s="5">
        <v>25.35</v>
      </c>
      <c r="D16" s="5">
        <v>-2.68</v>
      </c>
      <c r="E16" s="5">
        <v>-2.52</v>
      </c>
      <c r="F16" s="5">
        <v>24.25</v>
      </c>
      <c r="G16" s="5">
        <v>13.904999999999999</v>
      </c>
      <c r="H16" s="5">
        <v>72.869</v>
      </c>
      <c r="I16" s="5">
        <v>75.069999999999993</v>
      </c>
      <c r="J16" s="5"/>
      <c r="K16" s="5">
        <f t="shared" si="0"/>
        <v>11.40206720227876</v>
      </c>
      <c r="L16" s="5">
        <f t="shared" si="1"/>
        <v>11.572985246303165</v>
      </c>
      <c r="M16" s="5"/>
      <c r="N16" s="6"/>
    </row>
    <row r="17" spans="1:14" x14ac:dyDescent="0.3">
      <c r="A17" s="4">
        <v>5</v>
      </c>
      <c r="B17" s="5">
        <v>100</v>
      </c>
      <c r="C17" s="5">
        <v>25.4</v>
      </c>
      <c r="D17" s="5">
        <v>-2.68</v>
      </c>
      <c r="E17" s="5">
        <v>-2.52</v>
      </c>
      <c r="F17" s="5">
        <v>24.25</v>
      </c>
      <c r="G17" s="5">
        <v>13.904999999999999</v>
      </c>
      <c r="H17" s="5">
        <v>73.379000000000005</v>
      </c>
      <c r="I17" s="5">
        <v>73.793000000000006</v>
      </c>
      <c r="J17" s="5"/>
      <c r="K17" s="5">
        <f t="shared" si="0"/>
        <v>11.441898372149982</v>
      </c>
      <c r="L17" s="5">
        <f t="shared" si="1"/>
        <v>11.474130232187179</v>
      </c>
      <c r="M17" s="5"/>
      <c r="N17" s="6"/>
    </row>
    <row r="18" spans="1:14" x14ac:dyDescent="0.3">
      <c r="A18" s="4">
        <v>1</v>
      </c>
      <c r="B18" s="5">
        <v>100</v>
      </c>
      <c r="C18" s="5">
        <v>25.29</v>
      </c>
      <c r="D18" s="5">
        <v>-2.68</v>
      </c>
      <c r="E18" s="5">
        <v>-2.13</v>
      </c>
      <c r="F18" s="5">
        <v>24.25</v>
      </c>
      <c r="G18" s="5">
        <v>13.907999999999999</v>
      </c>
      <c r="H18" s="5">
        <v>75.003</v>
      </c>
      <c r="I18" s="5">
        <v>91.793000000000006</v>
      </c>
      <c r="J18" s="5"/>
      <c r="K18" s="5">
        <f t="shared" si="0"/>
        <v>11.567819646877886</v>
      </c>
      <c r="L18" s="5">
        <f t="shared" si="1"/>
        <v>12.797259407767266</v>
      </c>
      <c r="M18" s="5"/>
      <c r="N18" s="6">
        <f>AVERAGE(L18:L22)</f>
        <v>12.877397938353585</v>
      </c>
    </row>
    <row r="19" spans="1:14" x14ac:dyDescent="0.3">
      <c r="A19" s="4">
        <v>2</v>
      </c>
      <c r="B19" s="5">
        <v>100</v>
      </c>
      <c r="C19" s="5">
        <v>25.35</v>
      </c>
      <c r="D19" s="5">
        <v>-2.68</v>
      </c>
      <c r="E19" s="5">
        <v>-2.13</v>
      </c>
      <c r="F19" s="5">
        <v>24.25</v>
      </c>
      <c r="G19" s="5">
        <v>13.911</v>
      </c>
      <c r="H19" s="5">
        <v>73.069000000000003</v>
      </c>
      <c r="I19" s="5">
        <v>92.17</v>
      </c>
      <c r="J19" s="5"/>
      <c r="K19" s="5">
        <f t="shared" si="0"/>
        <v>11.417703829988366</v>
      </c>
      <c r="L19" s="5">
        <f t="shared" si="1"/>
        <v>12.823512080838928</v>
      </c>
      <c r="M19" s="5"/>
      <c r="N19" s="6">
        <f>STDEV(L18:L22)</f>
        <v>6.2558091634565077E-2</v>
      </c>
    </row>
    <row r="20" spans="1:14" x14ac:dyDescent="0.3">
      <c r="A20" s="4">
        <v>3</v>
      </c>
      <c r="B20" s="5">
        <v>100</v>
      </c>
      <c r="C20" s="5">
        <v>25.35</v>
      </c>
      <c r="D20" s="5">
        <v>-2.68</v>
      </c>
      <c r="E20" s="5">
        <v>-2.13</v>
      </c>
      <c r="F20" s="5">
        <v>24.225000000000001</v>
      </c>
      <c r="G20" s="5">
        <v>13.91</v>
      </c>
      <c r="H20" s="5">
        <v>72.132999999999996</v>
      </c>
      <c r="I20" s="5">
        <v>93.55</v>
      </c>
      <c r="J20" s="5"/>
      <c r="K20" s="5">
        <f t="shared" si="0"/>
        <v>11.344338816942006</v>
      </c>
      <c r="L20" s="5">
        <f t="shared" si="1"/>
        <v>12.91915436510326</v>
      </c>
      <c r="M20" s="5"/>
      <c r="N20" s="6"/>
    </row>
    <row r="21" spans="1:14" x14ac:dyDescent="0.3">
      <c r="A21" s="4">
        <v>4</v>
      </c>
      <c r="B21" s="5">
        <v>100</v>
      </c>
      <c r="C21" s="5">
        <v>25.29</v>
      </c>
      <c r="D21" s="5">
        <v>-2.68</v>
      </c>
      <c r="E21" s="5">
        <v>-2.13</v>
      </c>
      <c r="F21" s="5">
        <v>24.175000000000001</v>
      </c>
      <c r="G21" s="5">
        <v>13.904999999999999</v>
      </c>
      <c r="H21" s="5">
        <v>73.713999999999999</v>
      </c>
      <c r="I21" s="5">
        <v>93.427999999999997</v>
      </c>
      <c r="J21" s="5"/>
      <c r="K21" s="5">
        <f t="shared" si="0"/>
        <v>11.467986702158843</v>
      </c>
      <c r="L21" s="5">
        <f t="shared" si="1"/>
        <v>12.91072758245236</v>
      </c>
      <c r="M21" s="5"/>
      <c r="N21" s="6"/>
    </row>
    <row r="22" spans="1:14" x14ac:dyDescent="0.3">
      <c r="A22" s="4">
        <v>5</v>
      </c>
      <c r="B22" s="5">
        <v>100</v>
      </c>
      <c r="C22" s="5">
        <v>25.45</v>
      </c>
      <c r="D22" s="5">
        <v>-2.68</v>
      </c>
      <c r="E22" s="5">
        <v>-2.13</v>
      </c>
      <c r="F22" s="5">
        <v>24.2</v>
      </c>
      <c r="G22" s="5">
        <v>13.914</v>
      </c>
      <c r="H22" s="5">
        <v>73.427999999999997</v>
      </c>
      <c r="I22" s="5">
        <v>93.799000000000007</v>
      </c>
      <c r="J22" s="5"/>
      <c r="K22" s="5">
        <f t="shared" si="0"/>
        <v>11.445717989855448</v>
      </c>
      <c r="L22" s="5">
        <f t="shared" si="1"/>
        <v>12.936336255606101</v>
      </c>
      <c r="M22" s="5"/>
      <c r="N22" s="6"/>
    </row>
    <row r="23" spans="1:14" x14ac:dyDescent="0.3">
      <c r="A23" s="4">
        <v>1</v>
      </c>
      <c r="B23" s="5">
        <v>100</v>
      </c>
      <c r="C23" s="5">
        <v>25.5</v>
      </c>
      <c r="D23" s="5">
        <v>-2.68</v>
      </c>
      <c r="E23" s="5">
        <v>-1.65</v>
      </c>
      <c r="F23" s="5">
        <v>24.25</v>
      </c>
      <c r="G23" s="5">
        <v>13.912000000000001</v>
      </c>
      <c r="H23" s="5">
        <v>74.438000000000002</v>
      </c>
      <c r="I23" s="5">
        <v>102.544</v>
      </c>
      <c r="J23" s="5"/>
      <c r="K23" s="5">
        <f t="shared" si="0"/>
        <v>11.5241669042388</v>
      </c>
      <c r="L23" s="5">
        <f t="shared" si="1"/>
        <v>13.525935703813364</v>
      </c>
      <c r="M23" s="5"/>
      <c r="N23" s="6">
        <f>AVERAGE(L23:L27)</f>
        <v>13.468832795184152</v>
      </c>
    </row>
    <row r="24" spans="1:14" x14ac:dyDescent="0.3">
      <c r="A24" s="4">
        <v>2</v>
      </c>
      <c r="B24" s="5">
        <v>100</v>
      </c>
      <c r="C24" s="5">
        <v>25.4</v>
      </c>
      <c r="D24" s="5">
        <v>-2.68</v>
      </c>
      <c r="E24" s="5">
        <v>-1.65</v>
      </c>
      <c r="F24" s="5">
        <v>24.25</v>
      </c>
      <c r="G24" s="5">
        <v>13.909000000000001</v>
      </c>
      <c r="H24" s="5">
        <v>71.75</v>
      </c>
      <c r="I24" s="5">
        <v>101.51</v>
      </c>
      <c r="J24" s="5"/>
      <c r="K24" s="5">
        <f t="shared" si="0"/>
        <v>11.314181575700538</v>
      </c>
      <c r="L24" s="5">
        <f t="shared" si="1"/>
        <v>13.457568696408533</v>
      </c>
      <c r="M24" s="5"/>
      <c r="N24" s="6">
        <f>STDEV(L23:L27)</f>
        <v>8.1787394581288503E-2</v>
      </c>
    </row>
    <row r="25" spans="1:14" x14ac:dyDescent="0.3">
      <c r="A25" s="4">
        <v>3</v>
      </c>
      <c r="B25" s="5">
        <v>100</v>
      </c>
      <c r="C25" s="5">
        <v>25.29</v>
      </c>
      <c r="D25" s="5">
        <v>-2.68</v>
      </c>
      <c r="E25" s="5">
        <v>-1.65</v>
      </c>
      <c r="F25" s="5">
        <v>24.25</v>
      </c>
      <c r="G25" s="5">
        <v>13.907</v>
      </c>
      <c r="H25" s="5">
        <v>71.683000000000007</v>
      </c>
      <c r="I25" s="5">
        <v>103.298</v>
      </c>
      <c r="J25" s="5"/>
      <c r="K25" s="5">
        <f t="shared" si="0"/>
        <v>11.308897762357956</v>
      </c>
      <c r="L25" s="5">
        <f t="shared" si="1"/>
        <v>13.575572331918883</v>
      </c>
      <c r="M25" s="5"/>
      <c r="N25" s="6"/>
    </row>
    <row r="26" spans="1:14" x14ac:dyDescent="0.3">
      <c r="A26" s="4">
        <v>4</v>
      </c>
      <c r="B26" s="5">
        <v>100</v>
      </c>
      <c r="C26" s="5">
        <v>25.24</v>
      </c>
      <c r="D26" s="5">
        <v>-2.68</v>
      </c>
      <c r="E26" s="5">
        <v>-1.65</v>
      </c>
      <c r="F26" s="5">
        <v>24.225000000000001</v>
      </c>
      <c r="G26" s="5">
        <v>13.907999999999999</v>
      </c>
      <c r="H26" s="5">
        <v>73.057000000000002</v>
      </c>
      <c r="I26" s="5">
        <v>100.726</v>
      </c>
      <c r="J26" s="5"/>
      <c r="K26" s="5">
        <f t="shared" si="0"/>
        <v>11.416766236263575</v>
      </c>
      <c r="L26" s="5">
        <f t="shared" si="1"/>
        <v>13.405499024783786</v>
      </c>
      <c r="M26" s="5"/>
      <c r="N26" s="6"/>
    </row>
    <row r="27" spans="1:14" x14ac:dyDescent="0.3">
      <c r="A27" s="4">
        <v>5</v>
      </c>
      <c r="B27" s="5">
        <v>100</v>
      </c>
      <c r="C27" s="5">
        <v>25.35</v>
      </c>
      <c r="D27" s="5">
        <v>-2.68</v>
      </c>
      <c r="E27" s="5">
        <v>-1.65</v>
      </c>
      <c r="F27" s="5">
        <v>24.25</v>
      </c>
      <c r="G27" s="5">
        <v>13.91</v>
      </c>
      <c r="H27" s="5">
        <v>74.492000000000004</v>
      </c>
      <c r="I27" s="5">
        <v>100.337</v>
      </c>
      <c r="J27" s="5"/>
      <c r="K27" s="5">
        <f t="shared" si="0"/>
        <v>11.528346168815647</v>
      </c>
      <c r="L27" s="5">
        <f t="shared" si="1"/>
        <v>13.379588218996199</v>
      </c>
      <c r="M27" s="5"/>
      <c r="N27" s="6"/>
    </row>
    <row r="28" spans="1:14" x14ac:dyDescent="0.3">
      <c r="A28" s="4">
        <v>1</v>
      </c>
      <c r="B28" s="5">
        <v>100</v>
      </c>
      <c r="C28" s="5">
        <v>25.35</v>
      </c>
      <c r="D28" s="5">
        <v>-2.68</v>
      </c>
      <c r="E28" s="5">
        <v>-0.94</v>
      </c>
      <c r="F28" s="5">
        <v>24.25</v>
      </c>
      <c r="G28" s="5">
        <v>13.904</v>
      </c>
      <c r="H28" s="5">
        <v>71.616</v>
      </c>
      <c r="I28" s="5">
        <v>102.994</v>
      </c>
      <c r="J28" s="5"/>
      <c r="K28" s="5">
        <f t="shared" si="0"/>
        <v>11.303611479125069</v>
      </c>
      <c r="L28" s="5">
        <f t="shared" si="1"/>
        <v>13.555581553655509</v>
      </c>
      <c r="M28" s="5"/>
      <c r="N28" s="6">
        <f>AVERAGE(L28:L32)</f>
        <v>13.578331360830925</v>
      </c>
    </row>
    <row r="29" spans="1:14" x14ac:dyDescent="0.3">
      <c r="A29" s="4">
        <v>2</v>
      </c>
      <c r="B29" s="5">
        <v>100</v>
      </c>
      <c r="C29" s="5">
        <v>25.29</v>
      </c>
      <c r="D29" s="5">
        <v>-2.68</v>
      </c>
      <c r="E29" s="5">
        <v>-0.94</v>
      </c>
      <c r="F29" s="5">
        <v>24.25</v>
      </c>
      <c r="G29" s="5">
        <v>13.903</v>
      </c>
      <c r="H29" s="5">
        <v>73.001999999999995</v>
      </c>
      <c r="I29" s="5">
        <v>103.20099999999999</v>
      </c>
      <c r="J29" s="5"/>
      <c r="K29" s="5">
        <f t="shared" si="0"/>
        <v>11.412467946105005</v>
      </c>
      <c r="L29" s="5">
        <f t="shared" si="1"/>
        <v>13.569196894845959</v>
      </c>
      <c r="M29" s="5"/>
      <c r="N29" s="6">
        <f>STDEV(L28:L32)</f>
        <v>0.12139754322558874</v>
      </c>
    </row>
    <row r="30" spans="1:14" x14ac:dyDescent="0.3">
      <c r="A30" s="4">
        <v>3</v>
      </c>
      <c r="B30" s="5">
        <v>100</v>
      </c>
      <c r="C30" s="5">
        <v>25.35</v>
      </c>
      <c r="D30" s="5">
        <v>-2.68</v>
      </c>
      <c r="E30" s="5">
        <v>-0.94</v>
      </c>
      <c r="F30" s="5">
        <v>24.25</v>
      </c>
      <c r="G30" s="5">
        <v>13.911</v>
      </c>
      <c r="H30" s="5">
        <v>73.093999999999994</v>
      </c>
      <c r="I30" s="5">
        <v>100.97499999999999</v>
      </c>
      <c r="J30" s="5"/>
      <c r="K30" s="5">
        <f t="shared" si="0"/>
        <v>11.41965690300445</v>
      </c>
      <c r="L30" s="5">
        <f t="shared" si="1"/>
        <v>13.422058348562683</v>
      </c>
      <c r="M30" s="5"/>
      <c r="N30" s="6"/>
    </row>
    <row r="31" spans="1:14" x14ac:dyDescent="0.3">
      <c r="A31" s="4">
        <v>4</v>
      </c>
      <c r="B31" s="5">
        <v>100</v>
      </c>
      <c r="C31" s="5">
        <v>25.29</v>
      </c>
      <c r="D31" s="5">
        <v>-2.68</v>
      </c>
      <c r="E31" s="5">
        <v>-0.94</v>
      </c>
      <c r="F31" s="5">
        <v>24.25</v>
      </c>
      <c r="G31" s="5">
        <v>13.904999999999999</v>
      </c>
      <c r="H31" s="5">
        <v>74.602000000000004</v>
      </c>
      <c r="I31" s="5">
        <v>103.401</v>
      </c>
      <c r="J31" s="5"/>
      <c r="K31" s="5">
        <f t="shared" si="0"/>
        <v>11.536854802469946</v>
      </c>
      <c r="L31" s="5">
        <f t="shared" si="1"/>
        <v>13.582338849960532</v>
      </c>
      <c r="M31" s="5"/>
      <c r="N31" s="6"/>
    </row>
    <row r="32" spans="1:14" x14ac:dyDescent="0.3">
      <c r="A32" s="4">
        <v>5</v>
      </c>
      <c r="B32" s="5">
        <v>100</v>
      </c>
      <c r="C32" s="5">
        <v>25.14</v>
      </c>
      <c r="D32" s="5">
        <v>-2.68</v>
      </c>
      <c r="E32" s="5">
        <v>-0.94</v>
      </c>
      <c r="F32" s="5">
        <v>24.3</v>
      </c>
      <c r="G32" s="5">
        <v>13.907999999999999</v>
      </c>
      <c r="H32" s="5">
        <v>74.748000000000005</v>
      </c>
      <c r="I32" s="5">
        <v>106.16200000000001</v>
      </c>
      <c r="J32" s="5"/>
      <c r="K32" s="5">
        <f t="shared" si="0"/>
        <v>11.548138397422779</v>
      </c>
      <c r="L32" s="5">
        <f t="shared" si="1"/>
        <v>13.762481157129947</v>
      </c>
      <c r="M32" s="5"/>
      <c r="N32" s="6"/>
    </row>
    <row r="33" spans="1:14" x14ac:dyDescent="0.3">
      <c r="A33" s="4">
        <v>1</v>
      </c>
      <c r="B33" s="5">
        <v>100</v>
      </c>
      <c r="C33" s="5">
        <v>25.29</v>
      </c>
      <c r="D33" s="5">
        <v>-2.68</v>
      </c>
      <c r="E33" s="5">
        <v>0</v>
      </c>
      <c r="F33" s="5">
        <v>24.3</v>
      </c>
      <c r="G33" s="5">
        <v>13.907999999999999</v>
      </c>
      <c r="H33" s="5">
        <v>72.272999999999996</v>
      </c>
      <c r="I33" s="5">
        <v>103.10899999999999</v>
      </c>
      <c r="J33" s="5"/>
      <c r="K33" s="5">
        <f t="shared" si="0"/>
        <v>11.355342362888585</v>
      </c>
      <c r="L33" s="5">
        <f t="shared" si="1"/>
        <v>13.563147319469557</v>
      </c>
      <c r="M33" s="5"/>
      <c r="N33" s="6">
        <f>AVERAGE(L33:L37)</f>
        <v>13.502165462109172</v>
      </c>
    </row>
    <row r="34" spans="1:14" x14ac:dyDescent="0.3">
      <c r="A34" s="4">
        <v>2</v>
      </c>
      <c r="B34" s="5">
        <v>100</v>
      </c>
      <c r="C34" s="5">
        <v>25.45</v>
      </c>
      <c r="D34" s="5">
        <v>-2.68</v>
      </c>
      <c r="E34" s="5">
        <v>0</v>
      </c>
      <c r="F34" s="5">
        <v>24.324999999999999</v>
      </c>
      <c r="G34" s="5">
        <v>13.909000000000001</v>
      </c>
      <c r="H34" s="5">
        <v>76.486999999999995</v>
      </c>
      <c r="I34" s="5">
        <v>102.416</v>
      </c>
      <c r="J34" s="5"/>
      <c r="K34" s="5">
        <f t="shared" si="0"/>
        <v>11.681698824312528</v>
      </c>
      <c r="L34" s="5">
        <f t="shared" si="1"/>
        <v>13.517491229318448</v>
      </c>
      <c r="M34" s="5"/>
      <c r="N34" s="6">
        <f>STDEV(L33:L37)</f>
        <v>4.9559857112360023E-2</v>
      </c>
    </row>
    <row r="35" spans="1:14" x14ac:dyDescent="0.3">
      <c r="A35" s="4">
        <v>3</v>
      </c>
      <c r="B35" s="5">
        <v>100</v>
      </c>
      <c r="C35" s="5">
        <v>25.45</v>
      </c>
      <c r="D35" s="5">
        <v>-2.68</v>
      </c>
      <c r="E35" s="5">
        <v>0</v>
      </c>
      <c r="F35" s="5">
        <v>24.274999999999999</v>
      </c>
      <c r="G35" s="5">
        <v>13.904999999999999</v>
      </c>
      <c r="H35" s="5">
        <v>74.814999999999998</v>
      </c>
      <c r="I35" s="5">
        <v>102.574</v>
      </c>
      <c r="J35" s="5"/>
      <c r="K35" s="5">
        <f t="shared" si="0"/>
        <v>11.553312796531005</v>
      </c>
      <c r="L35" s="5">
        <f t="shared" si="1"/>
        <v>13.527914115017904</v>
      </c>
      <c r="M35" s="5"/>
      <c r="N35" s="6"/>
    </row>
    <row r="36" spans="1:14" x14ac:dyDescent="0.3">
      <c r="A36" s="4">
        <v>4</v>
      </c>
      <c r="B36" s="5">
        <v>100</v>
      </c>
      <c r="C36" s="5">
        <v>25.35</v>
      </c>
      <c r="D36" s="5">
        <v>-2.68</v>
      </c>
      <c r="E36" s="5">
        <v>0</v>
      </c>
      <c r="F36" s="5">
        <v>24.25</v>
      </c>
      <c r="G36" s="5">
        <v>13.903</v>
      </c>
      <c r="H36" s="5">
        <v>75.453000000000003</v>
      </c>
      <c r="I36" s="5">
        <v>101.407</v>
      </c>
      <c r="J36" s="5"/>
      <c r="K36" s="5">
        <f t="shared" si="0"/>
        <v>11.602469822275188</v>
      </c>
      <c r="L36" s="5">
        <f t="shared" si="1"/>
        <v>13.450739411741242</v>
      </c>
      <c r="M36" s="5"/>
      <c r="N36" s="6"/>
    </row>
    <row r="37" spans="1:14" x14ac:dyDescent="0.3">
      <c r="A37" s="4">
        <v>5</v>
      </c>
      <c r="B37" s="5">
        <v>100</v>
      </c>
      <c r="C37" s="5">
        <v>25.29</v>
      </c>
      <c r="D37" s="5">
        <v>-2.68</v>
      </c>
      <c r="E37" s="5">
        <v>0</v>
      </c>
      <c r="F37" s="5">
        <v>24.25</v>
      </c>
      <c r="G37" s="5">
        <v>13.909000000000001</v>
      </c>
      <c r="H37" s="5">
        <v>72.504000000000005</v>
      </c>
      <c r="I37" s="5">
        <v>101.419</v>
      </c>
      <c r="J37" s="5"/>
      <c r="K37" s="5">
        <f t="shared" si="0"/>
        <v>11.373474939673883</v>
      </c>
      <c r="L37" s="5">
        <f t="shared" si="1"/>
        <v>13.451535234998723</v>
      </c>
      <c r="M37" s="5"/>
      <c r="N37" s="6"/>
    </row>
    <row r="38" spans="1:14" x14ac:dyDescent="0.3">
      <c r="A38" s="4">
        <v>1</v>
      </c>
      <c r="B38" s="5">
        <v>100</v>
      </c>
      <c r="C38" s="5">
        <v>25.4</v>
      </c>
      <c r="D38" s="5">
        <v>-2.68</v>
      </c>
      <c r="E38" s="5">
        <v>0.94</v>
      </c>
      <c r="F38" s="5">
        <v>24</v>
      </c>
      <c r="G38" s="5">
        <v>13.91</v>
      </c>
      <c r="H38" s="5">
        <v>67.748000000000005</v>
      </c>
      <c r="I38" s="5">
        <v>90.308999999999997</v>
      </c>
      <c r="J38" s="5"/>
      <c r="K38" s="5">
        <f t="shared" si="0"/>
        <v>10.994118937153713</v>
      </c>
      <c r="L38" s="5">
        <f t="shared" si="1"/>
        <v>12.693392466572407</v>
      </c>
      <c r="M38" s="5"/>
      <c r="N38" s="6">
        <f>AVERAGE(L38:L42)</f>
        <v>12.83992457109253</v>
      </c>
    </row>
    <row r="39" spans="1:14" x14ac:dyDescent="0.3">
      <c r="A39" s="4">
        <v>2</v>
      </c>
      <c r="B39" s="5">
        <v>100</v>
      </c>
      <c r="C39" s="5">
        <v>25.55</v>
      </c>
      <c r="D39" s="5">
        <v>-2.68</v>
      </c>
      <c r="E39" s="5">
        <v>0.94</v>
      </c>
      <c r="F39" s="5">
        <v>24</v>
      </c>
      <c r="G39" s="5">
        <v>13.907</v>
      </c>
      <c r="H39" s="5">
        <v>70.150000000000006</v>
      </c>
      <c r="I39" s="5">
        <v>90.68</v>
      </c>
      <c r="J39" s="5"/>
      <c r="K39" s="5">
        <f t="shared" si="0"/>
        <v>11.187319188059393</v>
      </c>
      <c r="L39" s="5">
        <f t="shared" si="1"/>
        <v>12.719438718758379</v>
      </c>
      <c r="M39" s="5"/>
      <c r="N39" s="6">
        <f>STDEV(L38:L42)</f>
        <v>0.16164915416625086</v>
      </c>
    </row>
    <row r="40" spans="1:14" x14ac:dyDescent="0.3">
      <c r="A40" s="4">
        <v>3</v>
      </c>
      <c r="B40" s="5">
        <v>100</v>
      </c>
      <c r="C40" s="5">
        <v>25.5</v>
      </c>
      <c r="D40" s="5">
        <v>-2.68</v>
      </c>
      <c r="E40" s="5">
        <v>0.94</v>
      </c>
      <c r="F40" s="5">
        <v>24</v>
      </c>
      <c r="G40" s="5">
        <v>13.907</v>
      </c>
      <c r="H40" s="5">
        <v>71.117000000000004</v>
      </c>
      <c r="I40" s="5">
        <v>92.054000000000002</v>
      </c>
      <c r="J40" s="5"/>
      <c r="K40" s="5">
        <f t="shared" si="0"/>
        <v>11.26416246030762</v>
      </c>
      <c r="L40" s="5">
        <f t="shared" si="1"/>
        <v>12.815440063231264</v>
      </c>
      <c r="M40" s="5"/>
      <c r="N40" s="6"/>
    </row>
    <row r="41" spans="1:14" x14ac:dyDescent="0.3">
      <c r="A41" s="4">
        <v>4</v>
      </c>
      <c r="B41" s="5">
        <v>100</v>
      </c>
      <c r="C41" s="5">
        <v>25.4</v>
      </c>
      <c r="D41" s="5">
        <v>-2.68</v>
      </c>
      <c r="E41" s="5">
        <v>0.94</v>
      </c>
      <c r="F41" s="5">
        <v>24</v>
      </c>
      <c r="G41" s="5">
        <v>13.907</v>
      </c>
      <c r="H41" s="5">
        <v>70.965000000000003</v>
      </c>
      <c r="I41" s="5">
        <v>92.881</v>
      </c>
      <c r="J41" s="5"/>
      <c r="K41" s="5">
        <f t="shared" si="0"/>
        <v>11.252118444609684</v>
      </c>
      <c r="L41" s="5">
        <f t="shared" si="1"/>
        <v>12.87287739187007</v>
      </c>
      <c r="M41" s="5"/>
      <c r="N41" s="6"/>
    </row>
    <row r="42" spans="1:14" x14ac:dyDescent="0.3">
      <c r="A42" s="4">
        <v>5</v>
      </c>
      <c r="B42" s="5">
        <v>100</v>
      </c>
      <c r="C42" s="5">
        <v>25.08</v>
      </c>
      <c r="D42" s="5">
        <v>-2.68</v>
      </c>
      <c r="E42" s="5">
        <v>0.94</v>
      </c>
      <c r="F42" s="5">
        <v>24</v>
      </c>
      <c r="G42" s="5">
        <v>13.911</v>
      </c>
      <c r="H42" s="5">
        <v>75.501999999999995</v>
      </c>
      <c r="I42" s="5">
        <v>96.165000000000006</v>
      </c>
      <c r="J42" s="5"/>
      <c r="K42" s="5">
        <f t="shared" si="0"/>
        <v>11.6062365959642</v>
      </c>
      <c r="L42" s="5">
        <f t="shared" si="1"/>
        <v>13.098474215030535</v>
      </c>
      <c r="M42" s="5"/>
      <c r="N42" s="6"/>
    </row>
    <row r="43" spans="1:14" x14ac:dyDescent="0.3">
      <c r="A43" s="4">
        <v>1</v>
      </c>
      <c r="B43" s="5">
        <v>100</v>
      </c>
      <c r="C43" s="5">
        <v>25.24</v>
      </c>
      <c r="D43" s="5">
        <v>-2.68</v>
      </c>
      <c r="E43" s="5">
        <v>1.65</v>
      </c>
      <c r="F43" s="5">
        <v>24.074999999999999</v>
      </c>
      <c r="G43" s="5">
        <v>13.907999999999999</v>
      </c>
      <c r="H43" s="5">
        <v>72.936000000000007</v>
      </c>
      <c r="I43" s="5">
        <v>82.221000000000004</v>
      </c>
      <c r="J43" s="5"/>
      <c r="K43" s="5">
        <f t="shared" si="0"/>
        <v>11.407307860040325</v>
      </c>
      <c r="L43" s="5">
        <f t="shared" si="1"/>
        <v>12.111657156320803</v>
      </c>
      <c r="M43" s="5"/>
      <c r="N43" s="6">
        <f>AVERAGE(L43:L47)</f>
        <v>12.057136633726666</v>
      </c>
    </row>
    <row r="44" spans="1:14" x14ac:dyDescent="0.3">
      <c r="A44" s="4">
        <v>2</v>
      </c>
      <c r="B44" s="5">
        <v>100</v>
      </c>
      <c r="C44" s="5">
        <v>25.35</v>
      </c>
      <c r="D44" s="5">
        <v>-2.68</v>
      </c>
      <c r="E44" s="5">
        <v>1.65</v>
      </c>
      <c r="F44" s="5">
        <v>24.024999999999999</v>
      </c>
      <c r="G44" s="5">
        <v>13.901999999999999</v>
      </c>
      <c r="H44" s="5">
        <v>68.259</v>
      </c>
      <c r="I44" s="5">
        <v>82.561999999999998</v>
      </c>
      <c r="J44" s="5"/>
      <c r="K44" s="5">
        <f t="shared" si="0"/>
        <v>11.035503486426414</v>
      </c>
      <c r="L44" s="5">
        <f t="shared" si="1"/>
        <v>12.136746864067904</v>
      </c>
      <c r="M44" s="5"/>
      <c r="N44" s="6">
        <f>STDEV(L43:L47)</f>
        <v>9.6414277416937921E-2</v>
      </c>
    </row>
    <row r="45" spans="1:14" x14ac:dyDescent="0.3">
      <c r="A45" s="4">
        <v>3</v>
      </c>
      <c r="B45" s="5">
        <v>100</v>
      </c>
      <c r="C45" s="5">
        <v>25.29</v>
      </c>
      <c r="D45" s="5">
        <v>-2.68</v>
      </c>
      <c r="E45" s="5">
        <v>1.65</v>
      </c>
      <c r="F45" s="5">
        <v>24.05</v>
      </c>
      <c r="G45" s="5">
        <v>13.909000000000001</v>
      </c>
      <c r="H45" s="5">
        <v>67.146000000000001</v>
      </c>
      <c r="I45" s="5">
        <v>80.5</v>
      </c>
      <c r="J45" s="5"/>
      <c r="K45" s="5">
        <f t="shared" si="0"/>
        <v>10.945163779929999</v>
      </c>
      <c r="L45" s="5">
        <f t="shared" si="1"/>
        <v>11.984229899334668</v>
      </c>
      <c r="M45" s="5"/>
      <c r="N45" s="6"/>
    </row>
    <row r="46" spans="1:14" x14ac:dyDescent="0.3">
      <c r="A46" s="4">
        <v>4</v>
      </c>
      <c r="B46" s="5">
        <v>100</v>
      </c>
      <c r="C46" s="5">
        <v>25.81</v>
      </c>
      <c r="D46" s="5">
        <v>-2.68</v>
      </c>
      <c r="E46" s="5">
        <v>1.65</v>
      </c>
      <c r="F46" s="5">
        <v>24.225000000000001</v>
      </c>
      <c r="G46" s="5">
        <v>13.901999999999999</v>
      </c>
      <c r="H46" s="5">
        <v>67.826999999999998</v>
      </c>
      <c r="I46" s="5">
        <v>82.445999999999998</v>
      </c>
      <c r="J46" s="5"/>
      <c r="K46" s="5">
        <f t="shared" si="0"/>
        <v>11.000527114124196</v>
      </c>
      <c r="L46" s="5">
        <f t="shared" si="1"/>
        <v>12.128217773824524</v>
      </c>
      <c r="M46" s="5"/>
      <c r="N46" s="6"/>
    </row>
    <row r="47" spans="1:14" x14ac:dyDescent="0.3">
      <c r="A47" s="4">
        <v>5</v>
      </c>
      <c r="B47" s="5">
        <v>100</v>
      </c>
      <c r="C47" s="5">
        <v>25.4</v>
      </c>
      <c r="D47" s="5">
        <v>-2.68</v>
      </c>
      <c r="E47" s="5">
        <v>1.65</v>
      </c>
      <c r="F47" s="5">
        <v>24.225000000000001</v>
      </c>
      <c r="G47" s="5">
        <v>13.904999999999999</v>
      </c>
      <c r="H47" s="5">
        <v>68.241</v>
      </c>
      <c r="I47" s="5">
        <v>79.703999999999994</v>
      </c>
      <c r="J47" s="5"/>
      <c r="K47" s="5">
        <f t="shared" si="0"/>
        <v>11.034048351134095</v>
      </c>
      <c r="L47" s="5">
        <f t="shared" si="1"/>
        <v>11.924831475085433</v>
      </c>
      <c r="M47" s="5"/>
      <c r="N47" s="6"/>
    </row>
    <row r="48" spans="1:14" x14ac:dyDescent="0.3">
      <c r="A48" s="4">
        <v>1</v>
      </c>
      <c r="B48" s="5">
        <v>100</v>
      </c>
      <c r="C48" s="5">
        <v>25.4</v>
      </c>
      <c r="D48" s="5">
        <v>-2.68</v>
      </c>
      <c r="E48" s="5">
        <v>2.13</v>
      </c>
      <c r="F48" s="5">
        <v>24.25</v>
      </c>
      <c r="G48" s="5">
        <v>13.907999999999999</v>
      </c>
      <c r="H48" s="5">
        <v>70.733999999999995</v>
      </c>
      <c r="I48" s="5">
        <v>73.647000000000006</v>
      </c>
      <c r="J48" s="5"/>
      <c r="K48" s="5">
        <f t="shared" si="0"/>
        <v>11.233789986756371</v>
      </c>
      <c r="L48" s="5">
        <f t="shared" si="1"/>
        <v>11.462773786149464</v>
      </c>
      <c r="M48" s="5"/>
      <c r="N48" s="6">
        <f>AVERAGE(L48:L52)</f>
        <v>11.622501951780453</v>
      </c>
    </row>
    <row r="49" spans="1:14" x14ac:dyDescent="0.3">
      <c r="A49" s="4">
        <v>2</v>
      </c>
      <c r="B49" s="5">
        <v>100</v>
      </c>
      <c r="C49" s="5">
        <v>25.45</v>
      </c>
      <c r="D49" s="5">
        <v>-2.68</v>
      </c>
      <c r="E49" s="5">
        <v>2.13</v>
      </c>
      <c r="F49" s="5">
        <v>24.274999999999999</v>
      </c>
      <c r="G49" s="5">
        <v>13.904999999999999</v>
      </c>
      <c r="H49" s="5">
        <v>75.245999999999995</v>
      </c>
      <c r="I49" s="5">
        <v>76.091999999999999</v>
      </c>
      <c r="J49" s="5"/>
      <c r="K49" s="5">
        <f t="shared" si="0"/>
        <v>11.586543611600257</v>
      </c>
      <c r="L49" s="5">
        <f t="shared" si="1"/>
        <v>11.651496019844235</v>
      </c>
      <c r="M49" s="5"/>
      <c r="N49" s="6">
        <f>STDEV(L48:L52)</f>
        <v>9.9393987470691433E-2</v>
      </c>
    </row>
    <row r="50" spans="1:14" x14ac:dyDescent="0.3">
      <c r="A50" s="4">
        <v>3</v>
      </c>
      <c r="B50" s="5">
        <v>100</v>
      </c>
      <c r="C50" s="5">
        <v>25.4</v>
      </c>
      <c r="D50" s="5">
        <v>-2.68</v>
      </c>
      <c r="E50" s="5">
        <v>2.13</v>
      </c>
      <c r="F50" s="5">
        <v>24.25</v>
      </c>
      <c r="G50" s="5">
        <v>13.904999999999999</v>
      </c>
      <c r="H50" s="5">
        <v>73.756</v>
      </c>
      <c r="I50" s="5">
        <v>76.352999999999994</v>
      </c>
      <c r="J50" s="5"/>
      <c r="K50" s="5">
        <f t="shared" ref="K50:K85" si="2">SQRT(2*(H50)/$N$1)</f>
        <v>11.471253292310415</v>
      </c>
      <c r="L50" s="5">
        <f t="shared" ref="L50:L85" si="3">SQRT(2*(I50)/$N$1)</f>
        <v>11.671461569359307</v>
      </c>
      <c r="M50" s="5"/>
      <c r="N50" s="6"/>
    </row>
    <row r="51" spans="1:14" x14ac:dyDescent="0.3">
      <c r="A51" s="4">
        <v>4</v>
      </c>
      <c r="B51" s="5">
        <v>100</v>
      </c>
      <c r="C51" s="5">
        <v>25.4</v>
      </c>
      <c r="D51" s="5">
        <v>-2.68</v>
      </c>
      <c r="E51" s="5">
        <v>2.13</v>
      </c>
      <c r="F51" s="5">
        <v>24.3</v>
      </c>
      <c r="G51" s="5">
        <v>13.904</v>
      </c>
      <c r="H51" s="5">
        <v>74.498000000000005</v>
      </c>
      <c r="I51" s="5">
        <v>77.046000000000006</v>
      </c>
      <c r="J51" s="5"/>
      <c r="K51" s="5">
        <f t="shared" si="2"/>
        <v>11.52881043802733</v>
      </c>
      <c r="L51" s="5">
        <f t="shared" si="3"/>
        <v>11.724308561274064</v>
      </c>
      <c r="M51" s="5"/>
      <c r="N51" s="6"/>
    </row>
    <row r="52" spans="1:14" x14ac:dyDescent="0.3">
      <c r="A52" s="4">
        <v>5</v>
      </c>
      <c r="B52" s="5">
        <v>100</v>
      </c>
      <c r="C52" s="5">
        <v>25.35</v>
      </c>
      <c r="D52" s="5">
        <v>-2.68</v>
      </c>
      <c r="E52" s="5">
        <v>2.13</v>
      </c>
      <c r="F52" s="5">
        <v>24.3</v>
      </c>
      <c r="G52" s="5">
        <v>13.903</v>
      </c>
      <c r="H52" s="5">
        <v>71.481999999999999</v>
      </c>
      <c r="I52" s="5">
        <v>75.453000000000003</v>
      </c>
      <c r="J52" s="5"/>
      <c r="K52" s="5">
        <f t="shared" si="2"/>
        <v>11.293031489112858</v>
      </c>
      <c r="L52" s="5">
        <f t="shared" si="3"/>
        <v>11.602469822275188</v>
      </c>
      <c r="M52" s="5"/>
      <c r="N52" s="6"/>
    </row>
    <row r="53" spans="1:14" x14ac:dyDescent="0.3">
      <c r="A53" s="4">
        <v>1</v>
      </c>
      <c r="B53" s="5">
        <v>100</v>
      </c>
      <c r="C53" s="5">
        <v>25.24</v>
      </c>
      <c r="D53" s="5">
        <v>-2.68</v>
      </c>
      <c r="E53" s="5">
        <v>2.52</v>
      </c>
      <c r="F53" s="5">
        <v>24.75</v>
      </c>
      <c r="G53" s="5">
        <v>13.904</v>
      </c>
      <c r="H53" s="5">
        <v>71.227000000000004</v>
      </c>
      <c r="I53" s="5">
        <v>67.171000000000006</v>
      </c>
      <c r="J53" s="5"/>
      <c r="K53" s="5">
        <f t="shared" ref="K53:L57" si="4">SQRT(2*(H53)/$N$1)</f>
        <v>11.272870498565609</v>
      </c>
      <c r="L53" s="5">
        <f t="shared" si="4"/>
        <v>10.947201158401073</v>
      </c>
      <c r="M53" s="5"/>
      <c r="N53" s="6">
        <f>AVERAGE(L53:L57)</f>
        <v>10.844997692594262</v>
      </c>
    </row>
    <row r="54" spans="1:14" x14ac:dyDescent="0.3">
      <c r="A54" s="4">
        <v>2</v>
      </c>
      <c r="B54" s="5">
        <v>100</v>
      </c>
      <c r="C54" s="5">
        <v>25.14</v>
      </c>
      <c r="D54" s="5">
        <v>-2.68</v>
      </c>
      <c r="E54" s="5">
        <v>2.52</v>
      </c>
      <c r="F54" s="5">
        <v>24.7</v>
      </c>
      <c r="G54" s="5">
        <v>13.91</v>
      </c>
      <c r="H54" s="5">
        <v>71.257000000000005</v>
      </c>
      <c r="I54" s="5">
        <v>64.38</v>
      </c>
      <c r="J54" s="5"/>
      <c r="K54" s="5">
        <f t="shared" si="4"/>
        <v>11.275244250881592</v>
      </c>
      <c r="L54" s="5">
        <f t="shared" si="4"/>
        <v>10.717356511644121</v>
      </c>
      <c r="M54" s="5"/>
      <c r="N54" s="6">
        <f>STDEV(L53:L57)</f>
        <v>9.6400878290526848E-2</v>
      </c>
    </row>
    <row r="55" spans="1:14" x14ac:dyDescent="0.3">
      <c r="A55" s="4">
        <v>3</v>
      </c>
      <c r="B55" s="5">
        <v>100</v>
      </c>
      <c r="C55" s="5">
        <v>25.4</v>
      </c>
      <c r="D55" s="5">
        <v>-2.68</v>
      </c>
      <c r="E55" s="5">
        <v>2.52</v>
      </c>
      <c r="F55" s="5">
        <v>24.5</v>
      </c>
      <c r="G55" s="5">
        <v>13.903</v>
      </c>
      <c r="H55" s="5">
        <v>68.977000000000004</v>
      </c>
      <c r="I55" s="5">
        <v>65.936000000000007</v>
      </c>
      <c r="J55" s="5"/>
      <c r="K55" s="5">
        <f t="shared" si="4"/>
        <v>11.093391560152778</v>
      </c>
      <c r="L55" s="5">
        <f t="shared" si="4"/>
        <v>10.846097149297037</v>
      </c>
      <c r="M55" s="5"/>
      <c r="N55" s="6"/>
    </row>
    <row r="56" spans="1:14" x14ac:dyDescent="0.3">
      <c r="A56" s="4">
        <v>4</v>
      </c>
      <c r="B56" s="5">
        <v>100</v>
      </c>
      <c r="C56" s="5">
        <v>25.35</v>
      </c>
      <c r="D56" s="5">
        <v>-2.68</v>
      </c>
      <c r="E56" s="5">
        <v>2.52</v>
      </c>
      <c r="F56" s="5">
        <v>24.5</v>
      </c>
      <c r="G56" s="5">
        <v>13.907999999999999</v>
      </c>
      <c r="H56" s="5">
        <v>71.099000000000004</v>
      </c>
      <c r="I56" s="5">
        <v>65.206999999999994</v>
      </c>
      <c r="J56" s="5"/>
      <c r="K56" s="5">
        <f t="shared" si="4"/>
        <v>11.262736867584135</v>
      </c>
      <c r="L56" s="5">
        <f t="shared" si="4"/>
        <v>10.78597232193404</v>
      </c>
      <c r="M56" s="5"/>
      <c r="N56" s="6"/>
    </row>
    <row r="57" spans="1:14" x14ac:dyDescent="0.3">
      <c r="A57" s="4">
        <v>5</v>
      </c>
      <c r="B57" s="5">
        <v>100</v>
      </c>
      <c r="C57" s="5">
        <v>25.4</v>
      </c>
      <c r="D57" s="5">
        <v>-2.68</v>
      </c>
      <c r="E57" s="5">
        <v>2.52</v>
      </c>
      <c r="F57" s="5">
        <v>24.5</v>
      </c>
      <c r="G57" s="5">
        <v>13.907999999999999</v>
      </c>
      <c r="H57" s="5">
        <v>72.722999999999999</v>
      </c>
      <c r="I57" s="5">
        <v>66.94</v>
      </c>
      <c r="J57" s="5"/>
      <c r="K57" s="5">
        <f t="shared" si="4"/>
        <v>11.390638909759387</v>
      </c>
      <c r="L57" s="5">
        <f t="shared" si="4"/>
        <v>10.928361321695036</v>
      </c>
      <c r="M57" s="5"/>
      <c r="N57" s="6"/>
    </row>
    <row r="58" spans="1:14" x14ac:dyDescent="0.3">
      <c r="A58" s="4">
        <v>1</v>
      </c>
      <c r="B58" s="5">
        <v>100</v>
      </c>
      <c r="C58" s="5">
        <v>25.4</v>
      </c>
      <c r="D58" s="5">
        <v>-2.68</v>
      </c>
      <c r="E58" s="5">
        <v>2.87</v>
      </c>
      <c r="F58" s="5">
        <v>24.5</v>
      </c>
      <c r="G58" s="5">
        <v>13.904</v>
      </c>
      <c r="H58" s="5">
        <v>67.408000000000001</v>
      </c>
      <c r="I58" s="5">
        <v>46.459000000000003</v>
      </c>
      <c r="J58" s="5"/>
      <c r="K58" s="5">
        <f t="shared" si="2"/>
        <v>10.966496703842889</v>
      </c>
      <c r="L58" s="5">
        <f t="shared" si="3"/>
        <v>9.1043117486982172</v>
      </c>
      <c r="M58" s="5"/>
      <c r="N58" s="6">
        <f>AVERAGE(L58:L62)</f>
        <v>9.2630833357376083</v>
      </c>
    </row>
    <row r="59" spans="1:14" x14ac:dyDescent="0.3">
      <c r="A59" s="4">
        <v>2</v>
      </c>
      <c r="B59" s="5">
        <v>100</v>
      </c>
      <c r="C59" s="5">
        <v>25.35</v>
      </c>
      <c r="D59" s="5">
        <v>-2.68</v>
      </c>
      <c r="E59" s="5">
        <v>2.87</v>
      </c>
      <c r="F59" s="5">
        <v>24.45</v>
      </c>
      <c r="G59" s="5">
        <v>13.907</v>
      </c>
      <c r="H59" s="5">
        <v>69.724999999999994</v>
      </c>
      <c r="I59" s="5">
        <v>48.648000000000003</v>
      </c>
      <c r="J59" s="5"/>
      <c r="K59" s="5">
        <f t="shared" si="2"/>
        <v>11.153378817847786</v>
      </c>
      <c r="L59" s="5">
        <f t="shared" si="3"/>
        <v>9.3163262065854671</v>
      </c>
      <c r="M59" s="5"/>
      <c r="N59" s="6">
        <f>STDEV(L58:L62)</f>
        <v>0.11623774487221872</v>
      </c>
    </row>
    <row r="60" spans="1:14" x14ac:dyDescent="0.3">
      <c r="A60" s="4">
        <v>3</v>
      </c>
      <c r="B60" s="5">
        <v>100</v>
      </c>
      <c r="C60" s="5">
        <v>25.24</v>
      </c>
      <c r="D60" s="5">
        <v>-2.68</v>
      </c>
      <c r="E60" s="5">
        <v>2.87</v>
      </c>
      <c r="F60" s="5">
        <v>24.5</v>
      </c>
      <c r="G60" s="5">
        <v>13.907</v>
      </c>
      <c r="H60" s="5">
        <v>70.314999999999998</v>
      </c>
      <c r="I60" s="5">
        <v>49.451000000000001</v>
      </c>
      <c r="J60" s="5"/>
      <c r="K60" s="5">
        <f t="shared" si="2"/>
        <v>11.200468322055245</v>
      </c>
      <c r="L60" s="5">
        <f t="shared" si="3"/>
        <v>9.3929006918880873</v>
      </c>
      <c r="M60" s="5"/>
      <c r="N60" s="6"/>
    </row>
    <row r="61" spans="1:14" x14ac:dyDescent="0.3">
      <c r="A61" s="4">
        <v>4</v>
      </c>
      <c r="B61" s="5">
        <v>100</v>
      </c>
      <c r="C61" s="5">
        <v>25.14</v>
      </c>
      <c r="D61" s="5">
        <v>-2.68</v>
      </c>
      <c r="E61" s="5">
        <v>2.87</v>
      </c>
      <c r="F61" s="5">
        <v>24.5</v>
      </c>
      <c r="G61" s="5">
        <v>13.904</v>
      </c>
      <c r="H61" s="5">
        <v>68.521000000000001</v>
      </c>
      <c r="I61" s="5">
        <v>47.28</v>
      </c>
      <c r="J61" s="5"/>
      <c r="K61" s="5">
        <f t="shared" si="2"/>
        <v>11.056662108649018</v>
      </c>
      <c r="L61" s="5">
        <f t="shared" si="3"/>
        <v>9.1844028668939313</v>
      </c>
      <c r="M61" s="5"/>
      <c r="N61" s="6"/>
    </row>
    <row r="62" spans="1:14" ht="15" thickBot="1" x14ac:dyDescent="0.35">
      <c r="A62" s="7">
        <v>5</v>
      </c>
      <c r="B62" s="8">
        <v>100</v>
      </c>
      <c r="C62" s="8">
        <v>25.24</v>
      </c>
      <c r="D62" s="8">
        <v>-2.68</v>
      </c>
      <c r="E62" s="8">
        <v>2.87</v>
      </c>
      <c r="F62" s="8">
        <v>24.5</v>
      </c>
      <c r="G62" s="8">
        <v>13.904999999999999</v>
      </c>
      <c r="H62" s="8">
        <v>69.572999999999993</v>
      </c>
      <c r="I62" s="8">
        <v>48.66</v>
      </c>
      <c r="J62" s="8"/>
      <c r="K62" s="8">
        <f t="shared" si="2"/>
        <v>11.141215042074078</v>
      </c>
      <c r="L62" s="8">
        <f t="shared" si="3"/>
        <v>9.3174751646223424</v>
      </c>
      <c r="M62" s="8"/>
      <c r="N62" s="9"/>
    </row>
    <row r="63" spans="1:14" x14ac:dyDescent="0.3">
      <c r="A63" s="1">
        <v>1</v>
      </c>
      <c r="B63" s="2">
        <v>100</v>
      </c>
      <c r="C63" s="2">
        <v>24.82</v>
      </c>
      <c r="D63" s="2">
        <v>-2.87</v>
      </c>
      <c r="E63" s="2">
        <v>-2.87</v>
      </c>
      <c r="F63" s="2">
        <v>24.524999999999999</v>
      </c>
      <c r="G63" s="2">
        <v>13.907999999999999</v>
      </c>
      <c r="H63" s="2">
        <v>53.853000000000002</v>
      </c>
      <c r="I63" s="2">
        <v>47.152000000000001</v>
      </c>
      <c r="J63" s="2"/>
      <c r="K63" s="2">
        <f t="shared" si="2"/>
        <v>9.8020551650871273</v>
      </c>
      <c r="L63" s="2">
        <f t="shared" si="3"/>
        <v>9.1719620852038783</v>
      </c>
      <c r="M63" s="2">
        <f>AVERAGE(K63:K67)</f>
        <v>9.9579271679549208</v>
      </c>
      <c r="N63" s="3"/>
    </row>
    <row r="64" spans="1:14" x14ac:dyDescent="0.3">
      <c r="A64" s="4">
        <v>2</v>
      </c>
      <c r="B64" s="5">
        <v>100</v>
      </c>
      <c r="C64" s="5">
        <v>25.29</v>
      </c>
      <c r="D64" s="5">
        <v>-2.87</v>
      </c>
      <c r="E64" s="5">
        <v>-2.87</v>
      </c>
      <c r="F64" s="5">
        <v>24.524999999999999</v>
      </c>
      <c r="G64" s="5">
        <v>13.903</v>
      </c>
      <c r="H64" s="5">
        <v>56.9</v>
      </c>
      <c r="I64" s="5">
        <v>45.942</v>
      </c>
      <c r="J64" s="5"/>
      <c r="K64" s="5">
        <f t="shared" si="2"/>
        <v>10.075539842718717</v>
      </c>
      <c r="L64" s="5">
        <f t="shared" si="3"/>
        <v>9.0535132238769744</v>
      </c>
      <c r="M64" s="5">
        <f>STDEV(K63:K67)</f>
        <v>0.16252559788654825</v>
      </c>
      <c r="N64" s="6"/>
    </row>
    <row r="65" spans="1:14" x14ac:dyDescent="0.3">
      <c r="A65" s="4">
        <v>3</v>
      </c>
      <c r="B65" s="5">
        <v>100</v>
      </c>
      <c r="C65" s="5">
        <v>25.14</v>
      </c>
      <c r="D65" s="5">
        <v>-2.87</v>
      </c>
      <c r="E65" s="5">
        <v>-2.87</v>
      </c>
      <c r="F65" s="5">
        <v>24.5</v>
      </c>
      <c r="G65" s="5">
        <v>13.907999999999999</v>
      </c>
      <c r="H65" s="5">
        <v>55.695999999999998</v>
      </c>
      <c r="I65" s="5">
        <v>44.792999999999999</v>
      </c>
      <c r="J65" s="5"/>
      <c r="K65" s="5">
        <f t="shared" si="2"/>
        <v>9.9683710330540762</v>
      </c>
      <c r="L65" s="5">
        <f t="shared" si="3"/>
        <v>8.9395831165635595</v>
      </c>
      <c r="M65" s="5"/>
      <c r="N65" s="6"/>
    </row>
    <row r="66" spans="1:14" x14ac:dyDescent="0.3">
      <c r="A66" s="4">
        <v>4</v>
      </c>
      <c r="B66" s="5">
        <v>100</v>
      </c>
      <c r="C66" s="5">
        <v>25.19</v>
      </c>
      <c r="D66" s="5">
        <v>-2.87</v>
      </c>
      <c r="E66" s="5">
        <v>-2.87</v>
      </c>
      <c r="F66" s="5">
        <v>24.5</v>
      </c>
      <c r="G66" s="5">
        <v>13.91</v>
      </c>
      <c r="H66" s="5">
        <v>57.8</v>
      </c>
      <c r="I66" s="5">
        <v>46.064</v>
      </c>
      <c r="J66" s="5"/>
      <c r="K66" s="5">
        <f t="shared" si="2"/>
        <v>10.15491074852148</v>
      </c>
      <c r="L66" s="5">
        <f t="shared" si="3"/>
        <v>9.0655261565992813</v>
      </c>
      <c r="M66" s="5"/>
      <c r="N66" s="6"/>
    </row>
    <row r="67" spans="1:14" x14ac:dyDescent="0.3">
      <c r="A67" s="4">
        <v>5</v>
      </c>
      <c r="B67" s="5">
        <v>100</v>
      </c>
      <c r="C67" s="5">
        <v>25.19</v>
      </c>
      <c r="D67" s="5">
        <v>-2.87</v>
      </c>
      <c r="E67" s="5">
        <v>-2.87</v>
      </c>
      <c r="F67" s="5">
        <v>24.5</v>
      </c>
      <c r="G67" s="5">
        <v>13.913</v>
      </c>
      <c r="H67" s="5">
        <v>53.707000000000001</v>
      </c>
      <c r="I67" s="5">
        <v>45.546999999999997</v>
      </c>
      <c r="J67" s="5"/>
      <c r="K67" s="5">
        <f t="shared" si="2"/>
        <v>9.7887590503931996</v>
      </c>
      <c r="L67" s="5">
        <f t="shared" si="3"/>
        <v>9.0145090700168797</v>
      </c>
      <c r="M67" s="5"/>
      <c r="N67" s="6"/>
    </row>
    <row r="68" spans="1:14" x14ac:dyDescent="0.3">
      <c r="A68" s="4">
        <v>1</v>
      </c>
      <c r="B68" s="5">
        <v>100</v>
      </c>
      <c r="C68" s="5">
        <v>25.29</v>
      </c>
      <c r="D68" s="5">
        <v>-2.52</v>
      </c>
      <c r="E68" s="5">
        <v>-2.87</v>
      </c>
      <c r="F68" s="5">
        <v>24.55</v>
      </c>
      <c r="G68" s="5">
        <v>13.907999999999999</v>
      </c>
      <c r="H68" s="5">
        <v>80.718999999999994</v>
      </c>
      <c r="I68" s="5">
        <v>46.124000000000002</v>
      </c>
      <c r="J68" s="5"/>
      <c r="K68" s="5">
        <f t="shared" si="2"/>
        <v>12.000520357436246</v>
      </c>
      <c r="L68" s="5">
        <f t="shared" si="3"/>
        <v>9.0714283205678647</v>
      </c>
      <c r="M68" s="5">
        <f>AVERAGE(K68:K72)</f>
        <v>11.864234217399488</v>
      </c>
      <c r="N68" s="6"/>
    </row>
    <row r="69" spans="1:14" x14ac:dyDescent="0.3">
      <c r="A69" s="4">
        <v>2</v>
      </c>
      <c r="B69" s="5">
        <v>100</v>
      </c>
      <c r="C69" s="5">
        <v>25.24</v>
      </c>
      <c r="D69" s="5">
        <v>-2.52</v>
      </c>
      <c r="E69" s="5">
        <v>-2.87</v>
      </c>
      <c r="F69" s="5">
        <v>24.574999999999999</v>
      </c>
      <c r="G69" s="5">
        <v>13.907999999999999</v>
      </c>
      <c r="H69" s="5">
        <v>80.427000000000007</v>
      </c>
      <c r="I69" s="5">
        <v>46.756999999999998</v>
      </c>
      <c r="J69" s="5"/>
      <c r="K69" s="5">
        <f t="shared" si="2"/>
        <v>11.978794823509118</v>
      </c>
      <c r="L69" s="5">
        <f t="shared" si="3"/>
        <v>9.1334637772818059</v>
      </c>
      <c r="M69" s="5">
        <f>STDEV(K68:K72)</f>
        <v>0.12837744585503755</v>
      </c>
      <c r="N69" s="6"/>
    </row>
    <row r="70" spans="1:14" x14ac:dyDescent="0.3">
      <c r="A70" s="4">
        <v>3</v>
      </c>
      <c r="B70" s="5">
        <v>100</v>
      </c>
      <c r="C70" s="5">
        <v>25.29</v>
      </c>
      <c r="D70" s="5">
        <v>-2.52</v>
      </c>
      <c r="E70" s="5">
        <v>-2.87</v>
      </c>
      <c r="F70" s="5">
        <v>24.524999999999999</v>
      </c>
      <c r="G70" s="5">
        <v>13.914</v>
      </c>
      <c r="H70" s="5">
        <v>78.238</v>
      </c>
      <c r="I70" s="5">
        <v>45.302999999999997</v>
      </c>
      <c r="J70" s="5"/>
      <c r="K70" s="5">
        <f t="shared" si="2"/>
        <v>11.814655469107089</v>
      </c>
      <c r="L70" s="5">
        <f t="shared" si="3"/>
        <v>8.9903308154525465</v>
      </c>
      <c r="M70" s="5"/>
      <c r="N70" s="6"/>
    </row>
    <row r="71" spans="1:14" x14ac:dyDescent="0.3">
      <c r="A71" s="4">
        <v>4</v>
      </c>
      <c r="B71" s="5">
        <v>100</v>
      </c>
      <c r="C71" s="5">
        <v>25.29</v>
      </c>
      <c r="D71" s="5">
        <v>-2.52</v>
      </c>
      <c r="E71" s="5">
        <v>-2.87</v>
      </c>
      <c r="F71" s="5">
        <v>24.574999999999999</v>
      </c>
      <c r="G71" s="5">
        <v>13.907999999999999</v>
      </c>
      <c r="H71" s="5">
        <v>78.566999999999993</v>
      </c>
      <c r="I71" s="5">
        <v>46.665999999999997</v>
      </c>
      <c r="J71" s="5"/>
      <c r="K71" s="5">
        <f t="shared" si="2"/>
        <v>11.839470417550956</v>
      </c>
      <c r="L71" s="5">
        <f t="shared" si="3"/>
        <v>9.1245715258732059</v>
      </c>
      <c r="M71" s="5"/>
      <c r="N71" s="6"/>
    </row>
    <row r="72" spans="1:14" x14ac:dyDescent="0.3">
      <c r="A72" s="4">
        <v>5</v>
      </c>
      <c r="B72" s="5">
        <v>100</v>
      </c>
      <c r="C72" s="5">
        <v>25.08</v>
      </c>
      <c r="D72" s="5">
        <v>-2.52</v>
      </c>
      <c r="E72" s="5">
        <v>-2.87</v>
      </c>
      <c r="F72" s="5">
        <v>24.6</v>
      </c>
      <c r="G72" s="5">
        <v>13.91</v>
      </c>
      <c r="H72" s="5">
        <v>76.566000000000003</v>
      </c>
      <c r="I72" s="5">
        <v>46.276000000000003</v>
      </c>
      <c r="J72" s="5"/>
      <c r="K72" s="5">
        <f t="shared" si="2"/>
        <v>11.687730019394033</v>
      </c>
      <c r="L72" s="5">
        <f t="shared" si="3"/>
        <v>9.0863633108014508</v>
      </c>
      <c r="M72" s="5"/>
      <c r="N72" s="6"/>
    </row>
    <row r="73" spans="1:14" x14ac:dyDescent="0.3">
      <c r="A73" s="4">
        <v>1</v>
      </c>
      <c r="B73" s="5">
        <v>100</v>
      </c>
      <c r="C73" s="5">
        <v>25.29</v>
      </c>
      <c r="D73" s="5">
        <v>-2.13</v>
      </c>
      <c r="E73" s="5">
        <v>-2.87</v>
      </c>
      <c r="F73" s="5">
        <v>24.75</v>
      </c>
      <c r="G73" s="5">
        <v>13.901999999999999</v>
      </c>
      <c r="H73" s="5">
        <v>100.40900000000001</v>
      </c>
      <c r="I73" s="5">
        <v>45.570999999999998</v>
      </c>
      <c r="J73" s="5"/>
      <c r="K73" s="5">
        <f t="shared" si="2"/>
        <v>13.384387832282801</v>
      </c>
      <c r="L73" s="5">
        <f t="shared" si="3"/>
        <v>9.0168837568808975</v>
      </c>
      <c r="M73" s="5">
        <f>AVERAGE(K73:K77)</f>
        <v>13.496396856273885</v>
      </c>
      <c r="N73" s="6"/>
    </row>
    <row r="74" spans="1:14" x14ac:dyDescent="0.3">
      <c r="A74" s="4">
        <v>2</v>
      </c>
      <c r="B74" s="5">
        <v>100</v>
      </c>
      <c r="C74" s="5">
        <v>25.19</v>
      </c>
      <c r="D74" s="5">
        <v>-2.13</v>
      </c>
      <c r="E74" s="5">
        <v>-2.87</v>
      </c>
      <c r="F74" s="5">
        <v>24.774999999999999</v>
      </c>
      <c r="G74" s="5">
        <v>13.904</v>
      </c>
      <c r="H74" s="5">
        <v>99.887</v>
      </c>
      <c r="I74" s="5">
        <v>44.026000000000003</v>
      </c>
      <c r="J74" s="5"/>
      <c r="K74" s="5">
        <f t="shared" si="2"/>
        <v>13.349551539875392</v>
      </c>
      <c r="L74" s="5">
        <f t="shared" si="3"/>
        <v>8.8627154555089209</v>
      </c>
      <c r="M74" s="5">
        <f>STDEV(K73:K77)</f>
        <v>0.16356244532611883</v>
      </c>
      <c r="N74" s="6"/>
    </row>
    <row r="75" spans="1:14" x14ac:dyDescent="0.3">
      <c r="A75" s="4">
        <v>3</v>
      </c>
      <c r="B75" s="5">
        <v>100</v>
      </c>
      <c r="C75" s="5">
        <v>25.14</v>
      </c>
      <c r="D75" s="5">
        <v>-2.13</v>
      </c>
      <c r="E75" s="5">
        <v>-2.87</v>
      </c>
      <c r="F75" s="5">
        <v>24.8</v>
      </c>
      <c r="G75" s="5">
        <v>13.907999999999999</v>
      </c>
      <c r="H75" s="5">
        <v>104.526</v>
      </c>
      <c r="I75" s="5">
        <v>46.55</v>
      </c>
      <c r="J75" s="5"/>
      <c r="K75" s="5">
        <f t="shared" si="2"/>
        <v>13.656026695947405</v>
      </c>
      <c r="L75" s="5">
        <f t="shared" si="3"/>
        <v>9.1132237686576705</v>
      </c>
      <c r="M75" s="5"/>
      <c r="N75" s="6"/>
    </row>
    <row r="76" spans="1:14" x14ac:dyDescent="0.3">
      <c r="A76" s="4">
        <v>4</v>
      </c>
      <c r="B76" s="5">
        <v>100</v>
      </c>
      <c r="C76" s="5">
        <v>25.35</v>
      </c>
      <c r="D76" s="5">
        <v>-2.13</v>
      </c>
      <c r="E76" s="5">
        <v>-2.87</v>
      </c>
      <c r="F76" s="5">
        <v>24.75</v>
      </c>
      <c r="G76" s="5">
        <v>13.913</v>
      </c>
      <c r="H76" s="5">
        <v>100.64700000000001</v>
      </c>
      <c r="I76" s="5">
        <v>43.826000000000001</v>
      </c>
      <c r="J76" s="5"/>
      <c r="K76" s="5">
        <f t="shared" si="2"/>
        <v>13.400240987354643</v>
      </c>
      <c r="L76" s="5">
        <f t="shared" si="3"/>
        <v>8.8425619014664925</v>
      </c>
      <c r="M76" s="5"/>
      <c r="N76" s="6"/>
    </row>
    <row r="77" spans="1:14" x14ac:dyDescent="0.3">
      <c r="A77" s="4">
        <v>5</v>
      </c>
      <c r="B77" s="5">
        <v>100</v>
      </c>
      <c r="C77" s="5">
        <v>25.24</v>
      </c>
      <c r="D77" s="5">
        <v>-2.13</v>
      </c>
      <c r="E77" s="5">
        <v>-2.87</v>
      </c>
      <c r="F77" s="5">
        <v>24.824999999999999</v>
      </c>
      <c r="G77" s="5">
        <v>13.907999999999999</v>
      </c>
      <c r="H77" s="5">
        <v>105.074</v>
      </c>
      <c r="I77" s="5">
        <v>46.459000000000003</v>
      </c>
      <c r="J77" s="5"/>
      <c r="K77" s="5">
        <f t="shared" si="2"/>
        <v>13.691777225909172</v>
      </c>
      <c r="L77" s="5">
        <f t="shared" si="3"/>
        <v>9.1043117486982172</v>
      </c>
      <c r="M77" s="5"/>
      <c r="N77" s="6"/>
    </row>
    <row r="78" spans="1:14" x14ac:dyDescent="0.3">
      <c r="A78" s="4">
        <v>1</v>
      </c>
      <c r="B78" s="5">
        <v>100</v>
      </c>
      <c r="C78" s="5">
        <v>25.29</v>
      </c>
      <c r="D78" s="5">
        <v>-1.65</v>
      </c>
      <c r="E78" s="5">
        <v>-2.87</v>
      </c>
      <c r="F78" s="5">
        <v>25</v>
      </c>
      <c r="G78" s="5">
        <v>13.907999999999999</v>
      </c>
      <c r="H78" s="5">
        <v>117.911</v>
      </c>
      <c r="I78" s="5">
        <v>44.835000000000001</v>
      </c>
      <c r="J78" s="5"/>
      <c r="K78" s="5">
        <f t="shared" si="2"/>
        <v>14.50405215765482</v>
      </c>
      <c r="L78" s="5">
        <f t="shared" si="3"/>
        <v>8.9437732190277917</v>
      </c>
      <c r="M78" s="5">
        <f>AVERAGE(K78:K82)</f>
        <v>14.410524788073996</v>
      </c>
      <c r="N78" s="6"/>
    </row>
    <row r="79" spans="1:14" x14ac:dyDescent="0.3">
      <c r="A79" s="4">
        <v>2</v>
      </c>
      <c r="B79" s="5">
        <v>100</v>
      </c>
      <c r="C79" s="5">
        <v>25.55</v>
      </c>
      <c r="D79" s="5">
        <v>-1.65</v>
      </c>
      <c r="E79" s="5">
        <v>-2.87</v>
      </c>
      <c r="F79" s="5">
        <v>24.925000000000001</v>
      </c>
      <c r="G79" s="5">
        <v>13.91</v>
      </c>
      <c r="H79" s="5">
        <v>116.238</v>
      </c>
      <c r="I79" s="5">
        <v>43.314999999999998</v>
      </c>
      <c r="J79" s="5"/>
      <c r="K79" s="5">
        <f t="shared" si="2"/>
        <v>14.400787965357784</v>
      </c>
      <c r="L79" s="5">
        <f t="shared" si="3"/>
        <v>8.7908597410389326</v>
      </c>
      <c r="M79" s="5">
        <f>STDEV(K78:K82)</f>
        <v>9.1603002534627706E-2</v>
      </c>
      <c r="N79" s="6"/>
    </row>
    <row r="80" spans="1:14" x14ac:dyDescent="0.3">
      <c r="A80" s="4">
        <v>3</v>
      </c>
      <c r="B80" s="5">
        <v>100</v>
      </c>
      <c r="C80" s="5">
        <v>25.5</v>
      </c>
      <c r="D80" s="5">
        <v>-1.65</v>
      </c>
      <c r="E80" s="5">
        <v>-2.87</v>
      </c>
      <c r="F80" s="5">
        <v>24.925000000000001</v>
      </c>
      <c r="G80" s="5">
        <v>13.909000000000001</v>
      </c>
      <c r="H80" s="5">
        <v>115.959</v>
      </c>
      <c r="I80" s="5">
        <v>46.313000000000002</v>
      </c>
      <c r="J80" s="5"/>
      <c r="K80" s="5">
        <f t="shared" si="2"/>
        <v>14.383494852602544</v>
      </c>
      <c r="L80" s="5">
        <f t="shared" si="3"/>
        <v>9.0899950882675356</v>
      </c>
      <c r="M80" s="5"/>
      <c r="N80" s="6"/>
    </row>
    <row r="81" spans="1:14" x14ac:dyDescent="0.3">
      <c r="A81" s="4">
        <v>4</v>
      </c>
      <c r="B81" s="5">
        <v>100</v>
      </c>
      <c r="C81" s="5">
        <v>25.35</v>
      </c>
      <c r="D81" s="5">
        <v>-1.65</v>
      </c>
      <c r="E81" s="5">
        <v>-2.87</v>
      </c>
      <c r="F81" s="5">
        <v>24.95</v>
      </c>
      <c r="G81" s="5">
        <v>13.907</v>
      </c>
      <c r="H81" s="5">
        <v>117.649</v>
      </c>
      <c r="I81" s="5">
        <v>47.887999999999998</v>
      </c>
      <c r="J81" s="5"/>
      <c r="K81" s="5">
        <f t="shared" si="2"/>
        <v>14.487929086176051</v>
      </c>
      <c r="L81" s="5">
        <f t="shared" si="3"/>
        <v>9.2432679169285858</v>
      </c>
      <c r="M81" s="5"/>
      <c r="N81" s="6"/>
    </row>
    <row r="82" spans="1:14" x14ac:dyDescent="0.3">
      <c r="A82" s="4">
        <v>5</v>
      </c>
      <c r="B82" s="5">
        <v>100</v>
      </c>
      <c r="C82" s="5">
        <v>25.14</v>
      </c>
      <c r="D82" s="5">
        <v>-1.65</v>
      </c>
      <c r="E82" s="5">
        <v>-2.87</v>
      </c>
      <c r="F82" s="5">
        <v>24.875</v>
      </c>
      <c r="G82" s="5">
        <v>13.913</v>
      </c>
      <c r="H82" s="5">
        <v>114.238</v>
      </c>
      <c r="I82" s="5">
        <v>45.62</v>
      </c>
      <c r="J82" s="5"/>
      <c r="K82" s="5">
        <f t="shared" si="2"/>
        <v>14.276359878578784</v>
      </c>
      <c r="L82" s="5">
        <f t="shared" si="3"/>
        <v>9.0217301350569574</v>
      </c>
      <c r="M82" s="5"/>
      <c r="N82" s="6"/>
    </row>
    <row r="83" spans="1:14" x14ac:dyDescent="0.3">
      <c r="A83" s="4">
        <v>1</v>
      </c>
      <c r="B83" s="5">
        <v>100</v>
      </c>
      <c r="C83" s="5">
        <v>25.19</v>
      </c>
      <c r="D83" s="5">
        <v>-0.94</v>
      </c>
      <c r="E83" s="5">
        <v>-2.87</v>
      </c>
      <c r="F83" s="5">
        <v>24.75</v>
      </c>
      <c r="G83" s="5">
        <v>13.903</v>
      </c>
      <c r="H83" s="5">
        <v>117.72199999999999</v>
      </c>
      <c r="I83" s="5">
        <v>49.305</v>
      </c>
      <c r="J83" s="5"/>
      <c r="K83" s="5">
        <f t="shared" si="2"/>
        <v>14.492423194981724</v>
      </c>
      <c r="L83" s="5">
        <f t="shared" si="3"/>
        <v>9.3790245598844262</v>
      </c>
      <c r="M83" s="5">
        <f>AVERAGE(K83:K87)</f>
        <v>14.450915286714814</v>
      </c>
      <c r="N83" s="6"/>
    </row>
    <row r="84" spans="1:14" x14ac:dyDescent="0.3">
      <c r="A84" s="4">
        <v>2</v>
      </c>
      <c r="B84" s="5">
        <v>100</v>
      </c>
      <c r="C84" s="5">
        <v>25.24</v>
      </c>
      <c r="D84" s="5">
        <v>-0.94</v>
      </c>
      <c r="E84" s="5">
        <v>-2.87</v>
      </c>
      <c r="F84" s="5">
        <v>24.75</v>
      </c>
      <c r="G84" s="5">
        <v>13.904999999999999</v>
      </c>
      <c r="H84" s="5">
        <v>117.23</v>
      </c>
      <c r="I84" s="5">
        <v>48.890999999999998</v>
      </c>
      <c r="J84" s="5"/>
      <c r="K84" s="5">
        <f t="shared" si="2"/>
        <v>14.462107120778816</v>
      </c>
      <c r="L84" s="5">
        <f t="shared" si="3"/>
        <v>9.3395650577707237</v>
      </c>
      <c r="M84" s="5">
        <f>STDEV(K83:K87)</f>
        <v>7.2732667598229883E-2</v>
      </c>
      <c r="N84" s="6"/>
    </row>
    <row r="85" spans="1:14" x14ac:dyDescent="0.3">
      <c r="A85" s="4">
        <v>3</v>
      </c>
      <c r="B85" s="5">
        <v>100</v>
      </c>
      <c r="C85" s="5">
        <v>25.35</v>
      </c>
      <c r="D85" s="5">
        <v>-0.94</v>
      </c>
      <c r="E85" s="5">
        <v>-2.87</v>
      </c>
      <c r="F85" s="5">
        <v>24.75</v>
      </c>
      <c r="G85" s="5">
        <v>13.9</v>
      </c>
      <c r="H85" s="5">
        <v>114.98</v>
      </c>
      <c r="I85" s="5">
        <v>46.884999999999998</v>
      </c>
      <c r="J85" s="5"/>
      <c r="K85" s="5">
        <f t="shared" si="2"/>
        <v>14.322648826328159</v>
      </c>
      <c r="L85" s="5">
        <f t="shared" si="3"/>
        <v>9.1459569264189522</v>
      </c>
      <c r="M85" s="5"/>
      <c r="N85" s="6"/>
    </row>
    <row r="86" spans="1:14" x14ac:dyDescent="0.3">
      <c r="A86" s="4">
        <v>4</v>
      </c>
      <c r="B86" s="5">
        <v>100</v>
      </c>
      <c r="C86" s="5">
        <v>25.35</v>
      </c>
      <c r="D86" s="5">
        <v>-0.94</v>
      </c>
      <c r="E86" s="5">
        <v>-2.87</v>
      </c>
      <c r="F86" s="5">
        <v>24.75</v>
      </c>
      <c r="G86" s="5">
        <v>13.906000000000001</v>
      </c>
      <c r="H86" s="5">
        <v>117.637</v>
      </c>
      <c r="I86" s="5">
        <v>46.137</v>
      </c>
      <c r="J86" s="5"/>
      <c r="K86" s="5">
        <f t="shared" ref="K86:K131" si="5">SQRT(2*(H86)/$N$1)</f>
        <v>14.487190195142157</v>
      </c>
      <c r="L86" s="5">
        <f t="shared" ref="L86:L131" si="6">SQRT(2*(I86)/$N$1)</f>
        <v>9.0727066166808221</v>
      </c>
      <c r="M86" s="5"/>
      <c r="N86" s="6"/>
    </row>
    <row r="87" spans="1:14" x14ac:dyDescent="0.3">
      <c r="A87" s="4">
        <v>5</v>
      </c>
      <c r="B87" s="5">
        <v>100</v>
      </c>
      <c r="C87" s="5">
        <v>25.19</v>
      </c>
      <c r="D87" s="5">
        <v>-0.94</v>
      </c>
      <c r="E87" s="5">
        <v>-2.87</v>
      </c>
      <c r="F87" s="5">
        <v>24.75</v>
      </c>
      <c r="G87" s="5">
        <v>13.911</v>
      </c>
      <c r="H87" s="5">
        <v>117.68600000000001</v>
      </c>
      <c r="I87" s="5">
        <v>46.07</v>
      </c>
      <c r="J87" s="5"/>
      <c r="K87" s="5">
        <f t="shared" si="5"/>
        <v>14.490207096343216</v>
      </c>
      <c r="L87" s="5">
        <f t="shared" si="6"/>
        <v>9.0661165459036113</v>
      </c>
      <c r="M87" s="5"/>
      <c r="N87" s="6"/>
    </row>
    <row r="88" spans="1:14" x14ac:dyDescent="0.3">
      <c r="A88" s="4">
        <v>1</v>
      </c>
      <c r="B88" s="5">
        <v>100</v>
      </c>
      <c r="C88" s="5">
        <v>25.19</v>
      </c>
      <c r="D88" s="5">
        <v>0</v>
      </c>
      <c r="E88" s="5">
        <v>-2.87</v>
      </c>
      <c r="F88" s="5">
        <v>24.75</v>
      </c>
      <c r="G88" s="5">
        <v>13.904999999999999</v>
      </c>
      <c r="H88" s="5">
        <v>111.276</v>
      </c>
      <c r="I88" s="5">
        <v>45.03</v>
      </c>
      <c r="J88" s="5"/>
      <c r="K88" s="5">
        <f t="shared" si="5"/>
        <v>14.090063308307531</v>
      </c>
      <c r="L88" s="5">
        <f t="shared" si="6"/>
        <v>8.9632016071740495</v>
      </c>
      <c r="M88" s="5">
        <f>AVERAGE(K88:K92)</f>
        <v>14.178334085537765</v>
      </c>
      <c r="N88" s="6"/>
    </row>
    <row r="89" spans="1:14" x14ac:dyDescent="0.3">
      <c r="A89" s="4">
        <v>2</v>
      </c>
      <c r="B89" s="5">
        <v>100</v>
      </c>
      <c r="C89" s="5">
        <v>25.19</v>
      </c>
      <c r="D89" s="5">
        <v>0</v>
      </c>
      <c r="E89" s="5">
        <v>-2.87</v>
      </c>
      <c r="F89" s="5">
        <v>24.725000000000001</v>
      </c>
      <c r="G89" s="5">
        <v>13.907</v>
      </c>
      <c r="H89" s="5">
        <v>111.617</v>
      </c>
      <c r="I89" s="5">
        <v>44.975000000000001</v>
      </c>
      <c r="J89" s="5"/>
      <c r="K89" s="5">
        <f t="shared" si="5"/>
        <v>14.111635957688229</v>
      </c>
      <c r="L89" s="5">
        <f t="shared" si="6"/>
        <v>8.957726071846233</v>
      </c>
      <c r="M89" s="5">
        <f>STDEV(K88:K92)</f>
        <v>9.2048428221620723E-2</v>
      </c>
      <c r="N89" s="6"/>
    </row>
    <row r="90" spans="1:14" x14ac:dyDescent="0.3">
      <c r="A90" s="4">
        <v>3</v>
      </c>
      <c r="B90" s="5">
        <v>100</v>
      </c>
      <c r="C90" s="5">
        <v>25.14</v>
      </c>
      <c r="D90" s="5">
        <v>0</v>
      </c>
      <c r="E90" s="5">
        <v>-2.87</v>
      </c>
      <c r="F90" s="5">
        <v>24.725000000000001</v>
      </c>
      <c r="G90" s="5">
        <v>13.904999999999999</v>
      </c>
      <c r="H90" s="5">
        <v>112.383</v>
      </c>
      <c r="I90" s="5">
        <v>44.951000000000001</v>
      </c>
      <c r="J90" s="5"/>
      <c r="K90" s="5">
        <f t="shared" si="5"/>
        <v>14.159975506109843</v>
      </c>
      <c r="L90" s="5">
        <f t="shared" si="6"/>
        <v>8.9553356981493284</v>
      </c>
      <c r="M90" s="5"/>
      <c r="N90" s="6"/>
    </row>
    <row r="91" spans="1:14" x14ac:dyDescent="0.3">
      <c r="A91" s="4">
        <v>4</v>
      </c>
      <c r="B91" s="5">
        <v>100</v>
      </c>
      <c r="C91" s="5">
        <v>25.5</v>
      </c>
      <c r="D91" s="5">
        <v>0</v>
      </c>
      <c r="E91" s="5">
        <v>-2.87</v>
      </c>
      <c r="F91" s="5">
        <v>24.75</v>
      </c>
      <c r="G91" s="5">
        <v>13.91</v>
      </c>
      <c r="H91" s="5">
        <v>114.955</v>
      </c>
      <c r="I91" s="5">
        <v>47.844999999999999</v>
      </c>
      <c r="J91" s="5"/>
      <c r="K91" s="5">
        <f t="shared" si="5"/>
        <v>14.321091661228662</v>
      </c>
      <c r="L91" s="5">
        <f t="shared" si="6"/>
        <v>9.2391170880853419</v>
      </c>
      <c r="M91" s="5"/>
      <c r="N91" s="6"/>
    </row>
    <row r="92" spans="1:14" x14ac:dyDescent="0.3">
      <c r="A92" s="4">
        <v>5</v>
      </c>
      <c r="B92" s="5">
        <v>100</v>
      </c>
      <c r="C92" s="5">
        <v>25.24</v>
      </c>
      <c r="D92" s="5">
        <v>0</v>
      </c>
      <c r="E92" s="5">
        <v>-2.87</v>
      </c>
      <c r="F92" s="5">
        <v>24.725000000000001</v>
      </c>
      <c r="G92" s="5">
        <v>13.911</v>
      </c>
      <c r="H92" s="5">
        <v>113.161</v>
      </c>
      <c r="I92" s="5">
        <v>43.972000000000001</v>
      </c>
      <c r="J92" s="5"/>
      <c r="K92" s="5">
        <f t="shared" si="5"/>
        <v>14.208903994354563</v>
      </c>
      <c r="L92" s="5">
        <f t="shared" si="6"/>
        <v>8.8572785150983702</v>
      </c>
      <c r="M92" s="5"/>
      <c r="N92" s="6"/>
    </row>
    <row r="93" spans="1:14" x14ac:dyDescent="0.3">
      <c r="A93" s="4">
        <v>1</v>
      </c>
      <c r="B93" s="5">
        <v>100</v>
      </c>
      <c r="C93" s="5">
        <v>25.08</v>
      </c>
      <c r="D93" s="5">
        <v>0.91</v>
      </c>
      <c r="E93" s="5">
        <v>-2.87</v>
      </c>
      <c r="F93" s="5">
        <v>24.5</v>
      </c>
      <c r="G93" s="5">
        <v>13.911</v>
      </c>
      <c r="H93" s="5">
        <v>113.21</v>
      </c>
      <c r="I93" s="5">
        <v>47.893999999999998</v>
      </c>
      <c r="J93" s="5"/>
      <c r="K93" s="5">
        <f t="shared" si="5"/>
        <v>14.21197996992246</v>
      </c>
      <c r="L93" s="5">
        <f t="shared" si="6"/>
        <v>9.2438469541659334</v>
      </c>
      <c r="M93" s="5">
        <f>AVERAGE(K93:K97)</f>
        <v>14.230841892158946</v>
      </c>
      <c r="N93" s="6"/>
    </row>
    <row r="94" spans="1:14" x14ac:dyDescent="0.3">
      <c r="A94" s="4">
        <v>2</v>
      </c>
      <c r="B94" s="5">
        <v>100</v>
      </c>
      <c r="C94" s="5">
        <v>25.24</v>
      </c>
      <c r="D94" s="5">
        <v>0.91</v>
      </c>
      <c r="E94" s="5">
        <v>-2.87</v>
      </c>
      <c r="F94" s="5">
        <v>24.475000000000001</v>
      </c>
      <c r="G94" s="5">
        <v>13.91</v>
      </c>
      <c r="H94" s="5">
        <v>112.59</v>
      </c>
      <c r="I94" s="5">
        <v>45.893000000000001</v>
      </c>
      <c r="J94" s="5"/>
      <c r="K94" s="5">
        <f t="shared" si="5"/>
        <v>14.173010246483363</v>
      </c>
      <c r="L94" s="5">
        <f t="shared" si="6"/>
        <v>9.0486838683989301</v>
      </c>
      <c r="M94" s="5">
        <f>STDEV(K93:K97)</f>
        <v>4.4786940599778627E-2</v>
      </c>
      <c r="N94" s="6"/>
    </row>
    <row r="95" spans="1:14" x14ac:dyDescent="0.3">
      <c r="A95" s="4">
        <v>3</v>
      </c>
      <c r="B95" s="5">
        <v>100</v>
      </c>
      <c r="C95" s="5">
        <v>25.24</v>
      </c>
      <c r="D95" s="5">
        <v>0.91</v>
      </c>
      <c r="E95" s="5">
        <v>-2.87</v>
      </c>
      <c r="F95" s="5">
        <v>24.5</v>
      </c>
      <c r="G95" s="5">
        <v>13.907999999999999</v>
      </c>
      <c r="H95" s="5">
        <v>114.49299999999999</v>
      </c>
      <c r="I95" s="5">
        <v>47.540999999999997</v>
      </c>
      <c r="J95" s="5"/>
      <c r="K95" s="5">
        <f t="shared" si="5"/>
        <v>14.292284713066618</v>
      </c>
      <c r="L95" s="5">
        <f t="shared" si="6"/>
        <v>9.2097183282657795</v>
      </c>
      <c r="M95" s="5"/>
      <c r="N95" s="6"/>
    </row>
    <row r="96" spans="1:14" x14ac:dyDescent="0.3">
      <c r="A96" s="4">
        <v>4</v>
      </c>
      <c r="B96" s="5">
        <v>100</v>
      </c>
      <c r="C96" s="5">
        <v>25.5</v>
      </c>
      <c r="D96" s="5">
        <v>0.91</v>
      </c>
      <c r="E96" s="5">
        <v>-2.87</v>
      </c>
      <c r="F96" s="5">
        <v>24.5</v>
      </c>
      <c r="G96" s="5">
        <v>13.897</v>
      </c>
      <c r="H96" s="5">
        <v>113.867</v>
      </c>
      <c r="I96" s="5">
        <v>44.41</v>
      </c>
      <c r="J96" s="5"/>
      <c r="K96" s="5">
        <f t="shared" si="5"/>
        <v>14.253159031347449</v>
      </c>
      <c r="L96" s="5">
        <f t="shared" si="6"/>
        <v>8.9012823701022192</v>
      </c>
      <c r="M96" s="5"/>
      <c r="N96" s="6"/>
    </row>
    <row r="97" spans="1:14" x14ac:dyDescent="0.3">
      <c r="A97" s="4">
        <v>5</v>
      </c>
      <c r="B97" s="5">
        <v>100</v>
      </c>
      <c r="C97" s="5">
        <v>25.08</v>
      </c>
      <c r="D97" s="5">
        <v>0.91</v>
      </c>
      <c r="E97" s="5">
        <v>-2.87</v>
      </c>
      <c r="F97" s="5">
        <v>24.5</v>
      </c>
      <c r="G97" s="5">
        <v>13.906000000000001</v>
      </c>
      <c r="H97" s="5">
        <v>113.398</v>
      </c>
      <c r="I97" s="5">
        <v>44.774000000000001</v>
      </c>
      <c r="J97" s="5"/>
      <c r="K97" s="5">
        <f t="shared" si="5"/>
        <v>14.223775499974829</v>
      </c>
      <c r="L97" s="5">
        <f t="shared" si="6"/>
        <v>8.9376869486944734</v>
      </c>
      <c r="M97" s="5"/>
      <c r="N97" s="6"/>
    </row>
    <row r="98" spans="1:14" x14ac:dyDescent="0.3">
      <c r="A98" s="4">
        <v>1</v>
      </c>
      <c r="B98" s="5">
        <v>100</v>
      </c>
      <c r="C98" s="5">
        <v>25.4</v>
      </c>
      <c r="D98" s="5">
        <v>1.65</v>
      </c>
      <c r="E98" s="5">
        <v>-2.87</v>
      </c>
      <c r="F98" s="5">
        <v>24.5</v>
      </c>
      <c r="G98" s="5">
        <v>13.91</v>
      </c>
      <c r="H98" s="5">
        <v>109.64</v>
      </c>
      <c r="I98" s="5">
        <v>47.723999999999997</v>
      </c>
      <c r="J98" s="5"/>
      <c r="K98" s="5">
        <f t="shared" si="5"/>
        <v>13.986102443217895</v>
      </c>
      <c r="L98" s="5">
        <f t="shared" si="6"/>
        <v>9.2274268291653421</v>
      </c>
      <c r="M98" s="5">
        <f>AVERAGE(K98:K102)</f>
        <v>13.709661316036449</v>
      </c>
      <c r="N98" s="6"/>
    </row>
    <row r="99" spans="1:14" x14ac:dyDescent="0.3">
      <c r="A99" s="4">
        <v>2</v>
      </c>
      <c r="B99" s="5">
        <v>100</v>
      </c>
      <c r="C99" s="5">
        <v>25.35</v>
      </c>
      <c r="D99" s="5">
        <v>1.65</v>
      </c>
      <c r="E99" s="5">
        <v>-2.87</v>
      </c>
      <c r="F99" s="5">
        <v>24.5</v>
      </c>
      <c r="G99" s="5">
        <v>13.907999999999999</v>
      </c>
      <c r="H99" s="5">
        <v>102.483</v>
      </c>
      <c r="I99" s="5">
        <v>43.704000000000001</v>
      </c>
      <c r="J99" s="5"/>
      <c r="K99" s="5">
        <f t="shared" si="5"/>
        <v>13.521912041688404</v>
      </c>
      <c r="L99" s="5">
        <f t="shared" si="6"/>
        <v>8.8302456466508481</v>
      </c>
      <c r="M99" s="5">
        <f>STDEV(K98:K102)</f>
        <v>0.16979213469235116</v>
      </c>
      <c r="N99" s="6"/>
    </row>
    <row r="100" spans="1:14" x14ac:dyDescent="0.3">
      <c r="A100" s="4">
        <v>3</v>
      </c>
      <c r="B100" s="5">
        <v>100</v>
      </c>
      <c r="C100" s="5">
        <v>25.24</v>
      </c>
      <c r="D100" s="5">
        <v>1.65</v>
      </c>
      <c r="E100" s="5">
        <v>-2.87</v>
      </c>
      <c r="F100" s="5">
        <v>24.5</v>
      </c>
      <c r="G100" s="5">
        <v>13.907999999999999</v>
      </c>
      <c r="H100" s="5">
        <v>105.128</v>
      </c>
      <c r="I100" s="5">
        <v>45.383000000000003</v>
      </c>
      <c r="J100" s="5"/>
      <c r="K100" s="5">
        <f t="shared" si="5"/>
        <v>13.695295037173116</v>
      </c>
      <c r="L100" s="5">
        <f t="shared" si="6"/>
        <v>8.9982652704227171</v>
      </c>
      <c r="M100" s="5"/>
      <c r="N100" s="6"/>
    </row>
    <row r="101" spans="1:14" x14ac:dyDescent="0.3">
      <c r="A101" s="4">
        <v>4</v>
      </c>
      <c r="B101" s="5">
        <v>100</v>
      </c>
      <c r="C101" s="5">
        <v>25.35</v>
      </c>
      <c r="D101" s="5">
        <v>1.65</v>
      </c>
      <c r="E101" s="5">
        <v>-2.87</v>
      </c>
      <c r="F101" s="5">
        <v>24.5</v>
      </c>
      <c r="G101" s="5">
        <v>13.914</v>
      </c>
      <c r="H101" s="5">
        <v>104.496</v>
      </c>
      <c r="I101" s="5">
        <v>42.756</v>
      </c>
      <c r="J101" s="5"/>
      <c r="K101" s="5">
        <f t="shared" si="5"/>
        <v>13.654066847676582</v>
      </c>
      <c r="L101" s="5">
        <f t="shared" si="6"/>
        <v>8.7339504903909013</v>
      </c>
      <c r="M101" s="5"/>
      <c r="N101" s="6"/>
    </row>
    <row r="102" spans="1:14" x14ac:dyDescent="0.3">
      <c r="A102" s="4">
        <v>5</v>
      </c>
      <c r="B102" s="5">
        <v>100</v>
      </c>
      <c r="C102" s="5">
        <v>25.24</v>
      </c>
      <c r="D102" s="5">
        <v>1.65</v>
      </c>
      <c r="E102" s="5">
        <v>-2.87</v>
      </c>
      <c r="F102" s="5">
        <v>24.5</v>
      </c>
      <c r="G102" s="5">
        <v>13.906000000000001</v>
      </c>
      <c r="H102" s="5">
        <v>105.06100000000001</v>
      </c>
      <c r="I102" s="5">
        <v>42.530999999999999</v>
      </c>
      <c r="J102" s="5"/>
      <c r="K102" s="5">
        <f t="shared" si="5"/>
        <v>13.690930210426238</v>
      </c>
      <c r="L102" s="5">
        <f t="shared" si="6"/>
        <v>8.7109393219987048</v>
      </c>
      <c r="M102" s="5"/>
      <c r="N102" s="6"/>
    </row>
    <row r="103" spans="1:14" x14ac:dyDescent="0.3">
      <c r="A103" s="4">
        <v>1</v>
      </c>
      <c r="B103" s="5">
        <v>100</v>
      </c>
      <c r="C103" s="5">
        <v>25.29</v>
      </c>
      <c r="D103" s="5">
        <v>2.13</v>
      </c>
      <c r="E103" s="5">
        <v>-2.87</v>
      </c>
      <c r="F103" s="5">
        <v>24.524999999999999</v>
      </c>
      <c r="G103" s="5">
        <v>13.904</v>
      </c>
      <c r="H103" s="5">
        <v>88.436000000000007</v>
      </c>
      <c r="I103" s="5">
        <v>44.500999999999998</v>
      </c>
      <c r="J103" s="5"/>
      <c r="K103" s="5">
        <f t="shared" si="5"/>
        <v>12.561072927007839</v>
      </c>
      <c r="L103" s="5">
        <f t="shared" si="6"/>
        <v>8.9103974587240113</v>
      </c>
      <c r="M103" s="5">
        <f>AVERAGE(K103:K107)</f>
        <v>12.661713541955116</v>
      </c>
      <c r="N103" s="6"/>
    </row>
    <row r="104" spans="1:14" x14ac:dyDescent="0.3">
      <c r="A104" s="4">
        <v>2</v>
      </c>
      <c r="B104" s="5">
        <v>100</v>
      </c>
      <c r="C104" s="5">
        <v>25.19</v>
      </c>
      <c r="D104" s="5">
        <v>2.13</v>
      </c>
      <c r="E104" s="5">
        <v>-2.87</v>
      </c>
      <c r="F104" s="5">
        <v>24.524999999999999</v>
      </c>
      <c r="G104" s="5">
        <v>13.904999999999999</v>
      </c>
      <c r="H104" s="5">
        <v>89.798000000000002</v>
      </c>
      <c r="I104" s="5">
        <v>45.302999999999997</v>
      </c>
      <c r="J104" s="5"/>
      <c r="K104" s="5">
        <f t="shared" si="5"/>
        <v>12.657429688360487</v>
      </c>
      <c r="L104" s="5">
        <f t="shared" si="6"/>
        <v>8.9903308154525465</v>
      </c>
      <c r="M104" s="5">
        <f>STDEV(K103:K107)</f>
        <v>9.2132611951898105E-2</v>
      </c>
      <c r="N104" s="6"/>
    </row>
    <row r="105" spans="1:14" x14ac:dyDescent="0.3">
      <c r="A105" s="4">
        <v>3</v>
      </c>
      <c r="B105" s="5">
        <v>100</v>
      </c>
      <c r="C105" s="5">
        <v>25.29</v>
      </c>
      <c r="D105" s="5">
        <v>2.13</v>
      </c>
      <c r="E105" s="5">
        <v>-2.87</v>
      </c>
      <c r="F105" s="5">
        <v>24.574999999999999</v>
      </c>
      <c r="G105" s="5">
        <v>13.904999999999999</v>
      </c>
      <c r="H105" s="5">
        <v>89.165999999999997</v>
      </c>
      <c r="I105" s="5">
        <v>44.914000000000001</v>
      </c>
      <c r="J105" s="5"/>
      <c r="K105" s="5">
        <f t="shared" si="5"/>
        <v>12.612809426983015</v>
      </c>
      <c r="L105" s="5">
        <f t="shared" si="6"/>
        <v>8.9516492881311258</v>
      </c>
      <c r="M105" s="5"/>
      <c r="N105" s="6"/>
    </row>
    <row r="106" spans="1:14" x14ac:dyDescent="0.3">
      <c r="A106" s="4">
        <v>4</v>
      </c>
      <c r="B106" s="5">
        <v>100</v>
      </c>
      <c r="C106" s="5">
        <v>24.98</v>
      </c>
      <c r="D106" s="5">
        <v>2.13</v>
      </c>
      <c r="E106" s="5">
        <v>-2.87</v>
      </c>
      <c r="F106" s="5">
        <v>24.5</v>
      </c>
      <c r="G106" s="5">
        <v>13.907</v>
      </c>
      <c r="H106" s="5">
        <v>89.968000000000004</v>
      </c>
      <c r="I106" s="5">
        <v>45.206000000000003</v>
      </c>
      <c r="J106" s="5"/>
      <c r="K106" s="5">
        <f t="shared" si="5"/>
        <v>12.669405153369748</v>
      </c>
      <c r="L106" s="5">
        <f t="shared" si="6"/>
        <v>8.9807008859671651</v>
      </c>
      <c r="M106" s="5"/>
      <c r="N106" s="6"/>
    </row>
    <row r="107" spans="1:14" x14ac:dyDescent="0.3">
      <c r="A107" s="4">
        <v>5</v>
      </c>
      <c r="B107" s="5">
        <v>100</v>
      </c>
      <c r="C107" s="5">
        <v>25.45</v>
      </c>
      <c r="D107" s="5">
        <v>2.13</v>
      </c>
      <c r="E107" s="5">
        <v>-2.87</v>
      </c>
      <c r="F107" s="5">
        <v>24.5</v>
      </c>
      <c r="G107" s="5">
        <v>13.907999999999999</v>
      </c>
      <c r="H107" s="5">
        <v>91.944999999999993</v>
      </c>
      <c r="I107" s="5">
        <v>46.884999999999998</v>
      </c>
      <c r="J107" s="5"/>
      <c r="K107" s="5">
        <f t="shared" si="5"/>
        <v>12.807850514054484</v>
      </c>
      <c r="L107" s="5">
        <f t="shared" si="6"/>
        <v>9.1459569264189522</v>
      </c>
      <c r="M107" s="5"/>
      <c r="N107" s="6"/>
    </row>
    <row r="108" spans="1:14" x14ac:dyDescent="0.3">
      <c r="A108" s="4">
        <v>1</v>
      </c>
      <c r="B108" s="5">
        <v>100</v>
      </c>
      <c r="C108" s="5">
        <v>25.29</v>
      </c>
      <c r="D108" s="5">
        <v>2.52</v>
      </c>
      <c r="E108" s="5">
        <v>-2.87</v>
      </c>
      <c r="F108" s="5">
        <v>24.4</v>
      </c>
      <c r="G108" s="5">
        <v>13.907</v>
      </c>
      <c r="H108" s="5">
        <v>74.778000000000006</v>
      </c>
      <c r="I108" s="5">
        <v>43.661999999999999</v>
      </c>
      <c r="J108" s="5"/>
      <c r="K108" s="5">
        <f t="shared" ref="K108:L112" si="7">SQRT(2*(H108)/$N$1)</f>
        <v>11.5504555791379</v>
      </c>
      <c r="L108" s="5">
        <f t="shared" si="7"/>
        <v>8.8260016476740901</v>
      </c>
      <c r="M108" s="5">
        <f>AVERAGE(K108:K112)</f>
        <v>11.511258052018963</v>
      </c>
      <c r="N108" s="6"/>
    </row>
    <row r="109" spans="1:14" x14ac:dyDescent="0.3">
      <c r="A109" s="4">
        <v>2</v>
      </c>
      <c r="B109" s="5">
        <v>100</v>
      </c>
      <c r="C109" s="5">
        <v>25.14</v>
      </c>
      <c r="D109" s="5">
        <v>2.52</v>
      </c>
      <c r="E109" s="5">
        <v>-2.87</v>
      </c>
      <c r="F109" s="5">
        <v>24.4</v>
      </c>
      <c r="G109" s="5">
        <v>13.903</v>
      </c>
      <c r="H109" s="5">
        <v>75.459000000000003</v>
      </c>
      <c r="I109" s="5">
        <v>45.273000000000003</v>
      </c>
      <c r="J109" s="5"/>
      <c r="K109" s="5">
        <f t="shared" si="7"/>
        <v>11.602931125570294</v>
      </c>
      <c r="L109" s="5">
        <f t="shared" si="7"/>
        <v>8.9873535888863394</v>
      </c>
      <c r="M109" s="5">
        <f>STDEV(K108:K112)</f>
        <v>0.11245756989465466</v>
      </c>
      <c r="N109" s="6"/>
    </row>
    <row r="110" spans="1:14" x14ac:dyDescent="0.3">
      <c r="A110" s="4">
        <v>3</v>
      </c>
      <c r="B110" s="5">
        <v>100</v>
      </c>
      <c r="C110" s="5">
        <v>25.14</v>
      </c>
      <c r="D110" s="5">
        <v>2.52</v>
      </c>
      <c r="E110" s="5">
        <v>-2.87</v>
      </c>
      <c r="F110" s="5">
        <v>24.45</v>
      </c>
      <c r="G110" s="5">
        <v>13.91</v>
      </c>
      <c r="H110" s="5">
        <v>73.805000000000007</v>
      </c>
      <c r="I110" s="5">
        <v>45.296999999999997</v>
      </c>
      <c r="J110" s="5"/>
      <c r="K110" s="5">
        <f t="shared" si="7"/>
        <v>11.475063138869206</v>
      </c>
      <c r="L110" s="5">
        <f t="shared" si="7"/>
        <v>8.9897354490192942</v>
      </c>
      <c r="M110" s="5"/>
      <c r="N110" s="6"/>
    </row>
    <row r="111" spans="1:14" x14ac:dyDescent="0.3">
      <c r="A111" s="4">
        <v>4</v>
      </c>
      <c r="B111" s="5">
        <v>100</v>
      </c>
      <c r="C111" s="5">
        <v>25.45</v>
      </c>
      <c r="D111" s="5">
        <v>2.52</v>
      </c>
      <c r="E111" s="5">
        <v>-2.87</v>
      </c>
      <c r="F111" s="5">
        <v>24.45</v>
      </c>
      <c r="G111" s="5">
        <v>13.909000000000001</v>
      </c>
      <c r="H111" s="5">
        <v>71.974999999999994</v>
      </c>
      <c r="I111" s="5">
        <v>44.337000000000003</v>
      </c>
      <c r="J111" s="5"/>
      <c r="K111" s="5">
        <f t="shared" si="7"/>
        <v>11.3319076957491</v>
      </c>
      <c r="L111" s="5">
        <f t="shared" si="7"/>
        <v>8.8939635133001502</v>
      </c>
      <c r="M111" s="5"/>
      <c r="N111" s="6"/>
    </row>
    <row r="112" spans="1:14" x14ac:dyDescent="0.3">
      <c r="A112" s="4">
        <v>5</v>
      </c>
      <c r="B112" s="5">
        <v>100</v>
      </c>
      <c r="C112" s="5">
        <v>24.98</v>
      </c>
      <c r="D112" s="5">
        <v>2.52</v>
      </c>
      <c r="E112" s="5">
        <v>-2.87</v>
      </c>
      <c r="F112" s="5">
        <v>24.324999999999999</v>
      </c>
      <c r="G112" s="5">
        <v>13.909000000000001</v>
      </c>
      <c r="H112" s="5">
        <v>75.367999999999995</v>
      </c>
      <c r="I112" s="5">
        <v>44.220999999999997</v>
      </c>
      <c r="J112" s="5"/>
      <c r="K112" s="5">
        <f t="shared" si="7"/>
        <v>11.595932720768312</v>
      </c>
      <c r="L112" s="5">
        <f t="shared" si="7"/>
        <v>8.8823211438657967</v>
      </c>
      <c r="M112" s="5"/>
      <c r="N112" s="6"/>
    </row>
    <row r="113" spans="1:14" x14ac:dyDescent="0.3">
      <c r="A113" s="4">
        <v>1</v>
      </c>
      <c r="B113" s="5">
        <v>100</v>
      </c>
      <c r="C113" s="5">
        <v>24.98</v>
      </c>
      <c r="D113" s="5">
        <v>2.87</v>
      </c>
      <c r="E113" s="5">
        <v>-2.87</v>
      </c>
      <c r="F113" s="5">
        <v>24</v>
      </c>
      <c r="G113" s="5">
        <v>13.907</v>
      </c>
      <c r="H113" s="5">
        <v>53.999000000000002</v>
      </c>
      <c r="I113" s="5">
        <v>46.38</v>
      </c>
      <c r="J113" s="5"/>
      <c r="K113" s="5">
        <f t="shared" si="5"/>
        <v>9.8153332685226591</v>
      </c>
      <c r="L113" s="5">
        <f t="shared" si="6"/>
        <v>9.0965678600879283</v>
      </c>
      <c r="M113" s="5">
        <f>AVERAGE(K113:K117)</f>
        <v>9.7662821567533591</v>
      </c>
      <c r="N113" s="6"/>
    </row>
    <row r="114" spans="1:14" x14ac:dyDescent="0.3">
      <c r="A114" s="4">
        <v>2</v>
      </c>
      <c r="B114" s="5">
        <v>100</v>
      </c>
      <c r="C114" s="5">
        <v>25.24</v>
      </c>
      <c r="D114" s="5">
        <v>2.87</v>
      </c>
      <c r="E114" s="5">
        <v>-2.87</v>
      </c>
      <c r="F114" s="5">
        <v>24</v>
      </c>
      <c r="G114" s="5">
        <v>13.911</v>
      </c>
      <c r="H114" s="5">
        <v>51.494</v>
      </c>
      <c r="I114" s="5">
        <v>44.695</v>
      </c>
      <c r="J114" s="5"/>
      <c r="K114" s="5">
        <f t="shared" si="5"/>
        <v>9.584964437333193</v>
      </c>
      <c r="L114" s="5">
        <f t="shared" si="6"/>
        <v>8.9297985648369345</v>
      </c>
      <c r="M114" s="5">
        <f>STDEV(K113:K117)</f>
        <v>0.11721049553965458</v>
      </c>
      <c r="N114" s="6"/>
    </row>
    <row r="115" spans="1:14" x14ac:dyDescent="0.3">
      <c r="A115" s="4">
        <v>3</v>
      </c>
      <c r="B115" s="5">
        <v>100</v>
      </c>
      <c r="C115" s="5">
        <v>25.24</v>
      </c>
      <c r="D115" s="5">
        <v>2.87</v>
      </c>
      <c r="E115" s="5">
        <v>-2.87</v>
      </c>
      <c r="F115" s="5">
        <v>24.074999999999999</v>
      </c>
      <c r="G115" s="5">
        <v>13.909000000000001</v>
      </c>
      <c r="H115" s="5">
        <v>53.792999999999999</v>
      </c>
      <c r="I115" s="5">
        <v>45.188000000000002</v>
      </c>
      <c r="J115" s="5"/>
      <c r="K115" s="5">
        <f t="shared" si="5"/>
        <v>9.7965931925438365</v>
      </c>
      <c r="L115" s="5">
        <f t="shared" si="6"/>
        <v>8.9789127526358623</v>
      </c>
      <c r="M115" s="5"/>
      <c r="N115" s="6"/>
    </row>
    <row r="116" spans="1:14" x14ac:dyDescent="0.3">
      <c r="A116" s="4">
        <v>4</v>
      </c>
      <c r="B116" s="5">
        <v>100</v>
      </c>
      <c r="C116" s="5">
        <v>24.98</v>
      </c>
      <c r="D116" s="5">
        <v>2.87</v>
      </c>
      <c r="E116" s="5">
        <v>-2.87</v>
      </c>
      <c r="F116" s="5">
        <v>24.175000000000001</v>
      </c>
      <c r="G116" s="5">
        <v>13.907999999999999</v>
      </c>
      <c r="H116" s="5">
        <v>54.93</v>
      </c>
      <c r="I116" s="5">
        <v>47.698999999999998</v>
      </c>
      <c r="J116" s="5"/>
      <c r="K116" s="5">
        <f t="shared" si="5"/>
        <v>9.8995850479361138</v>
      </c>
      <c r="L116" s="5">
        <f t="shared" si="6"/>
        <v>9.2250096398103629</v>
      </c>
      <c r="M116" s="5"/>
      <c r="N116" s="6"/>
    </row>
    <row r="117" spans="1:14" ht="15" thickBot="1" x14ac:dyDescent="0.35">
      <c r="A117" s="7">
        <v>5</v>
      </c>
      <c r="B117" s="8">
        <v>100</v>
      </c>
      <c r="C117" s="8">
        <v>25.24</v>
      </c>
      <c r="D117" s="8">
        <v>2.87</v>
      </c>
      <c r="E117" s="8">
        <v>-2.87</v>
      </c>
      <c r="F117" s="8">
        <v>24.25</v>
      </c>
      <c r="G117" s="8">
        <v>13.907999999999999</v>
      </c>
      <c r="H117" s="8">
        <v>53.118000000000002</v>
      </c>
      <c r="I117" s="8">
        <v>47.784999999999997</v>
      </c>
      <c r="J117" s="8"/>
      <c r="K117" s="8">
        <f t="shared" si="5"/>
        <v>9.7349348374309965</v>
      </c>
      <c r="L117" s="8">
        <f t="shared" si="6"/>
        <v>9.2333221154758593</v>
      </c>
      <c r="M117" s="8"/>
      <c r="N117" s="9"/>
    </row>
    <row r="118" spans="1:14" x14ac:dyDescent="0.3">
      <c r="A118" s="1">
        <v>1</v>
      </c>
      <c r="B118" s="2">
        <v>80</v>
      </c>
      <c r="C118" s="2">
        <v>20.18</v>
      </c>
      <c r="D118" s="2">
        <v>-2.87</v>
      </c>
      <c r="E118" s="2">
        <v>-2.87</v>
      </c>
      <c r="F118" s="2">
        <v>23.75</v>
      </c>
      <c r="G118" s="2">
        <v>13.907999999999999</v>
      </c>
      <c r="H118" s="2">
        <v>32.813000000000002</v>
      </c>
      <c r="I118" s="2">
        <v>29.382999999999999</v>
      </c>
      <c r="J118" s="2"/>
      <c r="K118" s="2">
        <f t="shared" si="5"/>
        <v>7.6512987708856288</v>
      </c>
      <c r="L118" s="2">
        <f t="shared" si="6"/>
        <v>7.2403616451734782</v>
      </c>
      <c r="M118" s="2"/>
      <c r="N118" s="3">
        <f>AVERAGE(L118:L122)</f>
        <v>7.262288515859967</v>
      </c>
    </row>
    <row r="119" spans="1:14" x14ac:dyDescent="0.3">
      <c r="A119" s="4">
        <v>2</v>
      </c>
      <c r="B119" s="5">
        <v>80</v>
      </c>
      <c r="C119" s="5">
        <v>20.18</v>
      </c>
      <c r="D119" s="5">
        <v>-2.87</v>
      </c>
      <c r="E119" s="5">
        <v>-2.87</v>
      </c>
      <c r="F119" s="5">
        <v>23.75</v>
      </c>
      <c r="G119" s="5">
        <v>13.909000000000001</v>
      </c>
      <c r="H119" s="5">
        <v>33.207999999999998</v>
      </c>
      <c r="I119" s="5">
        <v>31.353999999999999</v>
      </c>
      <c r="J119" s="5"/>
      <c r="K119" s="5">
        <f t="shared" si="5"/>
        <v>7.6972138337748284</v>
      </c>
      <c r="L119" s="5">
        <f t="shared" si="6"/>
        <v>7.4792606502990324</v>
      </c>
      <c r="M119" s="5"/>
      <c r="N119" s="6">
        <f>STDEV(L118:L122)</f>
        <v>0.12460705145524777</v>
      </c>
    </row>
    <row r="120" spans="1:14" x14ac:dyDescent="0.3">
      <c r="A120" s="4">
        <v>3</v>
      </c>
      <c r="B120" s="5">
        <v>80</v>
      </c>
      <c r="C120" s="5">
        <v>20.05</v>
      </c>
      <c r="D120" s="5">
        <v>-2.87</v>
      </c>
      <c r="E120" s="5">
        <v>-2.87</v>
      </c>
      <c r="F120" s="5">
        <v>23.65</v>
      </c>
      <c r="G120" s="5">
        <v>13.909000000000001</v>
      </c>
      <c r="H120" s="5">
        <v>31.335000000000001</v>
      </c>
      <c r="I120" s="5">
        <v>29.079000000000001</v>
      </c>
      <c r="J120" s="5"/>
      <c r="K120" s="5">
        <f t="shared" si="5"/>
        <v>7.4769941534032753</v>
      </c>
      <c r="L120" s="5">
        <f t="shared" si="6"/>
        <v>7.2028094429564957</v>
      </c>
      <c r="M120" s="5"/>
      <c r="N120" s="6"/>
    </row>
    <row r="121" spans="1:14" x14ac:dyDescent="0.3">
      <c r="A121" s="4">
        <v>4</v>
      </c>
      <c r="B121" s="5">
        <v>80</v>
      </c>
      <c r="C121" s="5">
        <v>20.18</v>
      </c>
      <c r="D121" s="5">
        <v>-2.87</v>
      </c>
      <c r="E121" s="5">
        <v>-2.87</v>
      </c>
      <c r="F121" s="5">
        <v>23.524999999999999</v>
      </c>
      <c r="G121" s="5">
        <v>13.912000000000001</v>
      </c>
      <c r="H121" s="5">
        <v>30.934000000000001</v>
      </c>
      <c r="I121" s="5">
        <v>29.256</v>
      </c>
      <c r="J121" s="5"/>
      <c r="K121" s="5">
        <f t="shared" si="5"/>
        <v>7.4289978409343078</v>
      </c>
      <c r="L121" s="5">
        <f t="shared" si="6"/>
        <v>7.2246974570031286</v>
      </c>
      <c r="M121" s="5"/>
      <c r="N121" s="6"/>
    </row>
    <row r="122" spans="1:14" x14ac:dyDescent="0.3">
      <c r="A122" s="4">
        <v>5</v>
      </c>
      <c r="B122" s="5">
        <v>80</v>
      </c>
      <c r="C122" s="5">
        <v>20.239999999999998</v>
      </c>
      <c r="D122" s="5">
        <v>-2.87</v>
      </c>
      <c r="E122" s="5">
        <v>-2.87</v>
      </c>
      <c r="F122" s="5">
        <v>23.5</v>
      </c>
      <c r="G122" s="5">
        <v>13.914</v>
      </c>
      <c r="H122" s="5">
        <v>30.684999999999999</v>
      </c>
      <c r="I122" s="5">
        <v>28.768999999999998</v>
      </c>
      <c r="J122" s="5"/>
      <c r="K122" s="5">
        <f t="shared" si="5"/>
        <v>7.3990379585365282</v>
      </c>
      <c r="L122" s="5">
        <f t="shared" si="6"/>
        <v>7.1643133838676984</v>
      </c>
      <c r="M122" s="5"/>
      <c r="N122" s="6"/>
    </row>
    <row r="123" spans="1:14" x14ac:dyDescent="0.3">
      <c r="A123" s="4">
        <v>1</v>
      </c>
      <c r="B123" s="5">
        <v>80</v>
      </c>
      <c r="C123" s="5">
        <v>20.11</v>
      </c>
      <c r="D123" s="5">
        <v>-2.87</v>
      </c>
      <c r="E123" s="5">
        <v>-2.52</v>
      </c>
      <c r="F123" s="5">
        <v>23.75</v>
      </c>
      <c r="G123" s="5">
        <v>13.911</v>
      </c>
      <c r="H123" s="5">
        <v>32.521000000000001</v>
      </c>
      <c r="I123" s="5">
        <v>47.540999999999997</v>
      </c>
      <c r="J123" s="5"/>
      <c r="K123" s="5">
        <f t="shared" si="5"/>
        <v>7.6171785758142105</v>
      </c>
      <c r="L123" s="5">
        <f t="shared" si="6"/>
        <v>9.2097183282657795</v>
      </c>
      <c r="M123" s="5"/>
      <c r="N123" s="6">
        <f>AVERAGE(L123:L127)</f>
        <v>9.137920416308507</v>
      </c>
    </row>
    <row r="124" spans="1:14" x14ac:dyDescent="0.3">
      <c r="A124" s="4">
        <v>2</v>
      </c>
      <c r="B124" s="5">
        <v>80</v>
      </c>
      <c r="C124" s="5">
        <v>20.11</v>
      </c>
      <c r="D124" s="5">
        <v>-2.87</v>
      </c>
      <c r="E124" s="5">
        <v>-2.52</v>
      </c>
      <c r="F124" s="5">
        <v>23.824999999999999</v>
      </c>
      <c r="G124" s="5">
        <v>13.907</v>
      </c>
      <c r="H124" s="5">
        <v>33.055999999999997</v>
      </c>
      <c r="I124" s="5">
        <v>47.625999999999998</v>
      </c>
      <c r="J124" s="5"/>
      <c r="K124" s="5">
        <f t="shared" si="5"/>
        <v>7.6795777463462551</v>
      </c>
      <c r="L124" s="5">
        <f t="shared" si="6"/>
        <v>9.2179478192391535</v>
      </c>
      <c r="M124" s="5"/>
      <c r="N124" s="6">
        <f>STDEV(L123:L127)</f>
        <v>9.156028991396517E-2</v>
      </c>
    </row>
    <row r="125" spans="1:14" x14ac:dyDescent="0.3">
      <c r="A125" s="4">
        <v>3</v>
      </c>
      <c r="B125" s="5">
        <v>80</v>
      </c>
      <c r="C125" s="5">
        <v>20.11</v>
      </c>
      <c r="D125" s="5">
        <v>-2.87</v>
      </c>
      <c r="E125" s="5">
        <v>-2.52</v>
      </c>
      <c r="F125" s="5">
        <v>23.774999999999999</v>
      </c>
      <c r="G125" s="5">
        <v>13.91</v>
      </c>
      <c r="H125" s="5">
        <v>32.612000000000002</v>
      </c>
      <c r="I125" s="5">
        <v>47.03</v>
      </c>
      <c r="J125" s="5"/>
      <c r="K125" s="5">
        <f t="shared" si="5"/>
        <v>7.6278282948677942</v>
      </c>
      <c r="L125" s="5">
        <f t="shared" si="6"/>
        <v>9.160088738180816</v>
      </c>
      <c r="M125" s="5"/>
      <c r="N125" s="6"/>
    </row>
    <row r="126" spans="1:14" x14ac:dyDescent="0.3">
      <c r="A126" s="4">
        <v>4</v>
      </c>
      <c r="B126" s="5">
        <v>80</v>
      </c>
      <c r="C126" s="5">
        <v>20.18</v>
      </c>
      <c r="D126" s="5">
        <v>-2.87</v>
      </c>
      <c r="E126" s="5">
        <v>-2.52</v>
      </c>
      <c r="F126" s="5">
        <v>23.9</v>
      </c>
      <c r="G126" s="5">
        <v>13.907999999999999</v>
      </c>
      <c r="H126" s="5">
        <v>31.626999999999999</v>
      </c>
      <c r="I126" s="5">
        <v>45.345999999999997</v>
      </c>
      <c r="J126" s="5"/>
      <c r="K126" s="5">
        <f t="shared" si="5"/>
        <v>7.511751127103433</v>
      </c>
      <c r="L126" s="5">
        <f t="shared" si="6"/>
        <v>8.9945964549859809</v>
      </c>
      <c r="M126" s="5"/>
      <c r="N126" s="6"/>
    </row>
    <row r="127" spans="1:14" x14ac:dyDescent="0.3">
      <c r="A127" s="4">
        <v>5</v>
      </c>
      <c r="B127" s="5">
        <v>80</v>
      </c>
      <c r="C127" s="5">
        <v>20.239999999999998</v>
      </c>
      <c r="D127" s="5">
        <v>-2.87</v>
      </c>
      <c r="E127" s="5">
        <v>-2.52</v>
      </c>
      <c r="F127" s="5">
        <v>23.975000000000001</v>
      </c>
      <c r="G127" s="5">
        <v>13.907</v>
      </c>
      <c r="H127" s="5">
        <v>33.317999999999998</v>
      </c>
      <c r="I127" s="5">
        <v>46.488999999999997</v>
      </c>
      <c r="J127" s="5"/>
      <c r="K127" s="5">
        <f t="shared" si="5"/>
        <v>7.7099516307225988</v>
      </c>
      <c r="L127" s="5">
        <f t="shared" si="6"/>
        <v>9.107250740870807</v>
      </c>
      <c r="M127" s="5"/>
      <c r="N127" s="6"/>
    </row>
    <row r="128" spans="1:14" x14ac:dyDescent="0.3">
      <c r="A128" s="4">
        <v>1</v>
      </c>
      <c r="B128" s="5">
        <v>80</v>
      </c>
      <c r="C128" s="5">
        <v>20.18</v>
      </c>
      <c r="D128" s="5">
        <v>-2.87</v>
      </c>
      <c r="E128" s="5">
        <v>-2.13</v>
      </c>
      <c r="F128" s="5">
        <v>24.225000000000001</v>
      </c>
      <c r="G128" s="5">
        <v>13.909000000000001</v>
      </c>
      <c r="H128" s="5">
        <v>30.501999999999999</v>
      </c>
      <c r="I128" s="5">
        <v>57.981999999999999</v>
      </c>
      <c r="J128" s="5"/>
      <c r="K128" s="5">
        <f t="shared" si="5"/>
        <v>7.3769416772981673</v>
      </c>
      <c r="L128" s="5">
        <f t="shared" si="6"/>
        <v>10.170886017979091</v>
      </c>
      <c r="M128" s="5"/>
      <c r="N128" s="6">
        <f>AVERAGE(L128:L132)</f>
        <v>10.264655442406845</v>
      </c>
    </row>
    <row r="129" spans="1:14" x14ac:dyDescent="0.3">
      <c r="A129" s="4">
        <v>2</v>
      </c>
      <c r="B129" s="5">
        <v>80</v>
      </c>
      <c r="C129" s="5">
        <v>20.11</v>
      </c>
      <c r="D129" s="5">
        <v>-2.87</v>
      </c>
      <c r="E129" s="5">
        <v>-2.13</v>
      </c>
      <c r="F129" s="5">
        <v>24.125</v>
      </c>
      <c r="G129" s="5">
        <v>13.907</v>
      </c>
      <c r="H129" s="5">
        <v>31.785</v>
      </c>
      <c r="I129" s="5">
        <v>59.375</v>
      </c>
      <c r="J129" s="5"/>
      <c r="K129" s="5">
        <f t="shared" si="5"/>
        <v>7.5304910971422814</v>
      </c>
      <c r="L129" s="5">
        <f t="shared" si="6"/>
        <v>10.292337119907728</v>
      </c>
      <c r="M129" s="5"/>
      <c r="N129" s="6">
        <f>STDEV(L128:L132)</f>
        <v>5.8863522774612972E-2</v>
      </c>
    </row>
    <row r="130" spans="1:14" x14ac:dyDescent="0.3">
      <c r="A130" s="4">
        <v>3</v>
      </c>
      <c r="B130" s="5">
        <v>80</v>
      </c>
      <c r="C130" s="5">
        <v>20.18</v>
      </c>
      <c r="D130" s="5">
        <v>-2.87</v>
      </c>
      <c r="E130" s="5">
        <v>-2.13</v>
      </c>
      <c r="F130" s="5">
        <v>24.15</v>
      </c>
      <c r="G130" s="5">
        <v>13.913</v>
      </c>
      <c r="H130" s="5">
        <v>31.81</v>
      </c>
      <c r="I130" s="5">
        <v>59.064999999999998</v>
      </c>
      <c r="J130" s="5"/>
      <c r="K130" s="5">
        <f t="shared" si="5"/>
        <v>7.5334520106751466</v>
      </c>
      <c r="L130" s="5">
        <f t="shared" si="6"/>
        <v>10.265433540798609</v>
      </c>
      <c r="M130" s="5"/>
      <c r="N130" s="6"/>
    </row>
    <row r="131" spans="1:14" x14ac:dyDescent="0.3">
      <c r="A131" s="4">
        <v>4</v>
      </c>
      <c r="B131" s="5">
        <v>80</v>
      </c>
      <c r="C131" s="5">
        <v>20.11</v>
      </c>
      <c r="D131" s="5">
        <v>-2.87</v>
      </c>
      <c r="E131" s="5">
        <v>-2.13</v>
      </c>
      <c r="F131" s="5">
        <v>24.05</v>
      </c>
      <c r="G131" s="5">
        <v>13.91</v>
      </c>
      <c r="H131" s="5">
        <v>29.510999999999999</v>
      </c>
      <c r="I131" s="5">
        <v>59.052999999999997</v>
      </c>
      <c r="J131" s="5"/>
      <c r="K131" s="5">
        <f t="shared" si="5"/>
        <v>7.2561149578745763</v>
      </c>
      <c r="L131" s="5">
        <f t="shared" si="6"/>
        <v>10.264390694274555</v>
      </c>
      <c r="M131" s="5"/>
      <c r="N131" s="6"/>
    </row>
    <row r="132" spans="1:14" x14ac:dyDescent="0.3">
      <c r="A132" s="4">
        <v>5</v>
      </c>
      <c r="B132" s="5">
        <v>80</v>
      </c>
      <c r="C132" s="5">
        <v>20.18</v>
      </c>
      <c r="D132" s="5">
        <v>-2.87</v>
      </c>
      <c r="E132" s="5">
        <v>-2.13</v>
      </c>
      <c r="F132" s="5">
        <v>24</v>
      </c>
      <c r="G132" s="5">
        <v>13.916</v>
      </c>
      <c r="H132" s="5">
        <v>32.752000000000002</v>
      </c>
      <c r="I132" s="5">
        <v>59.813000000000002</v>
      </c>
      <c r="J132" s="5"/>
      <c r="K132" s="5">
        <f t="shared" ref="K132:K172" si="8">SQRT(2*(H132)/$N$1)</f>
        <v>7.6441835064852217</v>
      </c>
      <c r="L132" s="5">
        <f t="shared" ref="L132:L172" si="9">SQRT(2*(I132)/$N$1)</f>
        <v>10.330229839074246</v>
      </c>
      <c r="M132" s="5"/>
      <c r="N132" s="6"/>
    </row>
    <row r="133" spans="1:14" x14ac:dyDescent="0.3">
      <c r="A133" s="4">
        <v>1</v>
      </c>
      <c r="B133" s="5">
        <v>80</v>
      </c>
      <c r="C133" s="5">
        <v>20.05</v>
      </c>
      <c r="D133" s="5">
        <v>-2.87</v>
      </c>
      <c r="E133" s="5">
        <v>-1.65</v>
      </c>
      <c r="F133" s="5">
        <v>24</v>
      </c>
      <c r="G133" s="5">
        <v>13.914</v>
      </c>
      <c r="H133" s="5">
        <v>31.919</v>
      </c>
      <c r="I133" s="5">
        <v>62.871000000000002</v>
      </c>
      <c r="J133" s="5"/>
      <c r="K133" s="5">
        <f t="shared" si="8"/>
        <v>7.5463480188136449</v>
      </c>
      <c r="L133" s="5">
        <f t="shared" si="9"/>
        <v>10.591009938878527</v>
      </c>
      <c r="M133" s="5"/>
      <c r="N133" s="6">
        <f>AVERAGE(L133:L137)</f>
        <v>10.730720952182043</v>
      </c>
    </row>
    <row r="134" spans="1:14" x14ac:dyDescent="0.3">
      <c r="A134" s="4">
        <v>2</v>
      </c>
      <c r="B134" s="5">
        <v>80</v>
      </c>
      <c r="C134" s="5">
        <v>20.37</v>
      </c>
      <c r="D134" s="5">
        <v>-2.87</v>
      </c>
      <c r="E134" s="5">
        <v>-1.65</v>
      </c>
      <c r="F134" s="5">
        <v>24</v>
      </c>
      <c r="G134" s="5">
        <v>13.907999999999999</v>
      </c>
      <c r="H134" s="5">
        <v>32.789000000000001</v>
      </c>
      <c r="I134" s="5">
        <v>64.641000000000005</v>
      </c>
      <c r="J134" s="5"/>
      <c r="K134" s="5">
        <f t="shared" si="8"/>
        <v>7.6485001124187706</v>
      </c>
      <c r="L134" s="5">
        <f t="shared" si="9"/>
        <v>10.739058909525818</v>
      </c>
      <c r="M134" s="5"/>
      <c r="N134" s="6">
        <f>STDEV(L133:L137)</f>
        <v>8.0937414670545882E-2</v>
      </c>
    </row>
    <row r="135" spans="1:14" x14ac:dyDescent="0.3">
      <c r="A135" s="4">
        <v>3</v>
      </c>
      <c r="B135" s="5">
        <v>80</v>
      </c>
      <c r="C135" s="5">
        <v>20.239999999999998</v>
      </c>
      <c r="D135" s="5">
        <v>-2.87</v>
      </c>
      <c r="E135" s="5">
        <v>-1.65</v>
      </c>
      <c r="F135" s="5">
        <v>24</v>
      </c>
      <c r="G135" s="5">
        <v>13.911</v>
      </c>
      <c r="H135" s="5">
        <v>34.151000000000003</v>
      </c>
      <c r="I135" s="5">
        <v>65.266999999999996</v>
      </c>
      <c r="J135" s="5"/>
      <c r="K135" s="5">
        <f t="shared" si="8"/>
        <v>7.8057368138984895</v>
      </c>
      <c r="L135" s="5">
        <f t="shared" si="9"/>
        <v>10.790933518873249</v>
      </c>
      <c r="M135" s="5"/>
      <c r="N135" s="6"/>
    </row>
    <row r="136" spans="1:14" x14ac:dyDescent="0.3">
      <c r="A136" s="4">
        <v>4</v>
      </c>
      <c r="B136" s="5">
        <v>80</v>
      </c>
      <c r="C136" s="5">
        <v>20.18</v>
      </c>
      <c r="D136" s="5">
        <v>-2.87</v>
      </c>
      <c r="E136" s="5">
        <v>-1.65</v>
      </c>
      <c r="F136" s="5">
        <v>24</v>
      </c>
      <c r="G136" s="5">
        <v>13.906000000000001</v>
      </c>
      <c r="H136" s="5">
        <v>33.378999999999998</v>
      </c>
      <c r="I136" s="5">
        <v>64.787000000000006</v>
      </c>
      <c r="J136" s="5"/>
      <c r="K136" s="5">
        <f t="shared" si="8"/>
        <v>7.7170062555771786</v>
      </c>
      <c r="L136" s="5">
        <f t="shared" si="9"/>
        <v>10.751179841069645</v>
      </c>
      <c r="M136" s="5"/>
      <c r="N136" s="6"/>
    </row>
    <row r="137" spans="1:14" x14ac:dyDescent="0.3">
      <c r="A137" s="4">
        <v>5</v>
      </c>
      <c r="B137" s="5">
        <v>80</v>
      </c>
      <c r="C137" s="5">
        <v>20.239999999999998</v>
      </c>
      <c r="D137" s="5">
        <v>-2.87</v>
      </c>
      <c r="E137" s="5">
        <v>-1.65</v>
      </c>
      <c r="F137" s="5">
        <v>24.024999999999999</v>
      </c>
      <c r="G137" s="5">
        <v>13.904999999999999</v>
      </c>
      <c r="H137" s="5">
        <v>34.741</v>
      </c>
      <c r="I137" s="5">
        <v>65.152000000000001</v>
      </c>
      <c r="J137" s="5"/>
      <c r="K137" s="5">
        <f t="shared" si="8"/>
        <v>7.8728748743262456</v>
      </c>
      <c r="L137" s="5">
        <f t="shared" si="9"/>
        <v>10.781422552562972</v>
      </c>
      <c r="M137" s="5"/>
      <c r="N137" s="6"/>
    </row>
    <row r="138" spans="1:14" x14ac:dyDescent="0.3">
      <c r="A138" s="4">
        <v>1</v>
      </c>
      <c r="B138" s="5">
        <v>80</v>
      </c>
      <c r="C138" s="5">
        <v>20.309999999999999</v>
      </c>
      <c r="D138" s="5">
        <v>-2.87</v>
      </c>
      <c r="E138" s="5">
        <v>-0.94</v>
      </c>
      <c r="F138" s="5">
        <v>23.824999999999999</v>
      </c>
      <c r="G138" s="5">
        <v>13.907</v>
      </c>
      <c r="H138" s="5">
        <v>32.923000000000002</v>
      </c>
      <c r="I138" s="5">
        <v>63.09</v>
      </c>
      <c r="J138" s="5"/>
      <c r="K138" s="5">
        <f t="shared" si="8"/>
        <v>7.6641128792955167</v>
      </c>
      <c r="L138" s="5">
        <f t="shared" si="9"/>
        <v>10.609439857719089</v>
      </c>
      <c r="M138" s="5"/>
      <c r="N138" s="6">
        <f>AVERAGE(L138:L142)</f>
        <v>10.695616858660575</v>
      </c>
    </row>
    <row r="139" spans="1:14" x14ac:dyDescent="0.3">
      <c r="A139" s="4">
        <v>2</v>
      </c>
      <c r="B139" s="5">
        <v>80</v>
      </c>
      <c r="C139" s="5">
        <v>20.11</v>
      </c>
      <c r="D139" s="5">
        <v>-2.87</v>
      </c>
      <c r="E139" s="5">
        <v>-0.94</v>
      </c>
      <c r="F139" s="5">
        <v>24</v>
      </c>
      <c r="G139" s="5">
        <v>13.906000000000001</v>
      </c>
      <c r="H139" s="5">
        <v>32.953000000000003</v>
      </c>
      <c r="I139" s="5">
        <v>64.683999999999997</v>
      </c>
      <c r="J139" s="5"/>
      <c r="K139" s="5">
        <f t="shared" si="8"/>
        <v>7.6676039194908148</v>
      </c>
      <c r="L139" s="5">
        <f t="shared" si="9"/>
        <v>10.742630193720556</v>
      </c>
      <c r="M139" s="5"/>
      <c r="N139" s="6">
        <f>STDEV(L138:L142)</f>
        <v>0.11870826782902454</v>
      </c>
    </row>
    <row r="140" spans="1:14" x14ac:dyDescent="0.3">
      <c r="A140" s="4">
        <v>3</v>
      </c>
      <c r="B140" s="5">
        <v>80</v>
      </c>
      <c r="C140" s="5">
        <v>20.18</v>
      </c>
      <c r="D140" s="5">
        <v>-2.87</v>
      </c>
      <c r="E140" s="5">
        <v>-0.94</v>
      </c>
      <c r="F140" s="5">
        <v>23.975000000000001</v>
      </c>
      <c r="G140" s="5">
        <v>13.907999999999999</v>
      </c>
      <c r="H140" s="5">
        <v>32.521000000000001</v>
      </c>
      <c r="I140" s="5">
        <v>65.146000000000001</v>
      </c>
      <c r="J140" s="5"/>
      <c r="K140" s="5">
        <f t="shared" si="8"/>
        <v>7.6171785758142105</v>
      </c>
      <c r="L140" s="5">
        <f t="shared" si="9"/>
        <v>10.780926097928321</v>
      </c>
      <c r="M140" s="5"/>
      <c r="N140" s="6"/>
    </row>
    <row r="141" spans="1:14" x14ac:dyDescent="0.3">
      <c r="A141" s="4">
        <v>4</v>
      </c>
      <c r="B141" s="5">
        <v>80</v>
      </c>
      <c r="C141" s="5">
        <v>20.239999999999998</v>
      </c>
      <c r="D141" s="5">
        <v>-2.87</v>
      </c>
      <c r="E141" s="5">
        <v>-0.94</v>
      </c>
      <c r="F141" s="5">
        <v>24</v>
      </c>
      <c r="G141" s="5">
        <v>13.907999999999999</v>
      </c>
      <c r="H141" s="5">
        <v>34.381999999999998</v>
      </c>
      <c r="I141" s="5">
        <v>65.510999999999996</v>
      </c>
      <c r="J141" s="5"/>
      <c r="K141" s="5">
        <f t="shared" si="8"/>
        <v>7.8320916256660222</v>
      </c>
      <c r="L141" s="5">
        <f t="shared" si="9"/>
        <v>10.811085598166501</v>
      </c>
      <c r="M141" s="5"/>
      <c r="N141" s="6"/>
    </row>
    <row r="142" spans="1:14" x14ac:dyDescent="0.3">
      <c r="A142" s="4">
        <v>5</v>
      </c>
      <c r="B142" s="5">
        <v>80</v>
      </c>
      <c r="C142" s="5">
        <v>20.239999999999998</v>
      </c>
      <c r="D142" s="5">
        <v>-2.87</v>
      </c>
      <c r="E142" s="5">
        <v>-0.94</v>
      </c>
      <c r="F142" s="5">
        <v>24</v>
      </c>
      <c r="G142" s="5">
        <v>13.9</v>
      </c>
      <c r="H142" s="5">
        <v>31.712</v>
      </c>
      <c r="I142" s="5">
        <v>62.195999999999998</v>
      </c>
      <c r="J142" s="5"/>
      <c r="K142" s="5">
        <f t="shared" si="8"/>
        <v>7.5218385590067625</v>
      </c>
      <c r="L142" s="5">
        <f t="shared" si="9"/>
        <v>10.5340025457684</v>
      </c>
      <c r="M142" s="5"/>
      <c r="N142" s="6"/>
    </row>
    <row r="143" spans="1:14" x14ac:dyDescent="0.3">
      <c r="A143" s="4">
        <v>1</v>
      </c>
      <c r="B143" s="5">
        <v>80</v>
      </c>
      <c r="C143" s="5">
        <v>20.239999999999998</v>
      </c>
      <c r="D143" s="5">
        <v>-2.87</v>
      </c>
      <c r="E143" s="5">
        <v>0</v>
      </c>
      <c r="F143" s="5">
        <v>23.85</v>
      </c>
      <c r="G143" s="5">
        <v>13.911</v>
      </c>
      <c r="H143" s="5">
        <v>32.698</v>
      </c>
      <c r="I143" s="5">
        <v>64.44</v>
      </c>
      <c r="J143" s="5"/>
      <c r="K143" s="5">
        <f t="shared" si="8"/>
        <v>7.6378792167412026</v>
      </c>
      <c r="L143" s="5">
        <f t="shared" si="9"/>
        <v>10.722349456947187</v>
      </c>
      <c r="M143" s="5"/>
      <c r="N143" s="6">
        <f>AVERAGE(L143:L147)</f>
        <v>10.712391247530023</v>
      </c>
    </row>
    <row r="144" spans="1:14" x14ac:dyDescent="0.3">
      <c r="A144" s="4">
        <v>2</v>
      </c>
      <c r="B144" s="5">
        <v>80</v>
      </c>
      <c r="C144" s="5">
        <v>19.98</v>
      </c>
      <c r="D144" s="5">
        <v>-2.87</v>
      </c>
      <c r="E144" s="5">
        <v>0</v>
      </c>
      <c r="F144" s="5">
        <v>23.975000000000001</v>
      </c>
      <c r="G144" s="5">
        <v>13.906000000000001</v>
      </c>
      <c r="H144" s="5">
        <v>32.929000000000002</v>
      </c>
      <c r="I144" s="5">
        <v>64.591999999999999</v>
      </c>
      <c r="J144" s="5"/>
      <c r="K144" s="5">
        <f t="shared" si="8"/>
        <v>7.6648112145378322</v>
      </c>
      <c r="L144" s="5">
        <f t="shared" si="9"/>
        <v>10.7349878582872</v>
      </c>
      <c r="M144" s="5"/>
      <c r="N144" s="6">
        <f>STDEV(L143:L147)</f>
        <v>3.7769028781000552E-2</v>
      </c>
    </row>
    <row r="145" spans="1:14" x14ac:dyDescent="0.3">
      <c r="A145" s="4">
        <v>3</v>
      </c>
      <c r="B145" s="5">
        <v>80</v>
      </c>
      <c r="C145" s="5">
        <v>20.11</v>
      </c>
      <c r="D145" s="5">
        <v>-2.87</v>
      </c>
      <c r="E145" s="5">
        <v>0</v>
      </c>
      <c r="F145" s="5">
        <v>23.95</v>
      </c>
      <c r="G145" s="5">
        <v>13.907</v>
      </c>
      <c r="H145" s="5">
        <v>32.764000000000003</v>
      </c>
      <c r="I145" s="5">
        <v>63.875</v>
      </c>
      <c r="J145" s="5"/>
      <c r="K145" s="5">
        <f t="shared" si="8"/>
        <v>7.6455837538191744</v>
      </c>
      <c r="L145" s="5">
        <f t="shared" si="9"/>
        <v>10.675240012803201</v>
      </c>
      <c r="M145" s="5"/>
      <c r="N145" s="6"/>
    </row>
    <row r="146" spans="1:14" x14ac:dyDescent="0.3">
      <c r="A146" s="4">
        <v>4</v>
      </c>
      <c r="B146" s="5">
        <v>80</v>
      </c>
      <c r="C146" s="5">
        <v>20.18</v>
      </c>
      <c r="D146" s="5">
        <v>-2.87</v>
      </c>
      <c r="E146" s="5">
        <v>0</v>
      </c>
      <c r="F146" s="5">
        <v>24</v>
      </c>
      <c r="G146" s="5">
        <v>13.907999999999999</v>
      </c>
      <c r="H146" s="5">
        <v>33.993000000000002</v>
      </c>
      <c r="I146" s="5">
        <v>64.866</v>
      </c>
      <c r="J146" s="5"/>
      <c r="K146" s="5">
        <f t="shared" si="8"/>
        <v>7.7876592143756955</v>
      </c>
      <c r="L146" s="5">
        <f t="shared" si="9"/>
        <v>10.757732733216699</v>
      </c>
      <c r="M146" s="5"/>
      <c r="N146" s="6"/>
    </row>
    <row r="147" spans="1:14" x14ac:dyDescent="0.3">
      <c r="A147" s="4">
        <v>5</v>
      </c>
      <c r="B147" s="5">
        <v>80</v>
      </c>
      <c r="C147" s="5">
        <v>20.239999999999998</v>
      </c>
      <c r="D147" s="5">
        <v>-2.87</v>
      </c>
      <c r="E147" s="5">
        <v>0</v>
      </c>
      <c r="F147" s="5">
        <v>24</v>
      </c>
      <c r="G147" s="5">
        <v>13.907999999999999</v>
      </c>
      <c r="H147" s="5">
        <v>34.868000000000002</v>
      </c>
      <c r="I147" s="5">
        <v>63.832000000000001</v>
      </c>
      <c r="J147" s="5"/>
      <c r="K147" s="5">
        <f t="shared" si="8"/>
        <v>7.8872518784725791</v>
      </c>
      <c r="L147" s="5">
        <f t="shared" si="9"/>
        <v>10.671646176395832</v>
      </c>
      <c r="M147" s="5"/>
      <c r="N147" s="6"/>
    </row>
    <row r="148" spans="1:14" x14ac:dyDescent="0.3">
      <c r="A148" s="4">
        <v>1</v>
      </c>
      <c r="B148" s="5">
        <v>80</v>
      </c>
      <c r="C148" s="5">
        <v>20.18</v>
      </c>
      <c r="D148" s="5">
        <v>-2.87</v>
      </c>
      <c r="E148" s="5">
        <v>0.94</v>
      </c>
      <c r="F148" s="5">
        <v>23.75</v>
      </c>
      <c r="G148" s="5">
        <v>13.909000000000001</v>
      </c>
      <c r="H148" s="5">
        <v>32.350999999999999</v>
      </c>
      <c r="I148" s="5">
        <v>58.183</v>
      </c>
      <c r="J148" s="5"/>
      <c r="K148" s="5">
        <f t="shared" si="8"/>
        <v>7.5972435021789666</v>
      </c>
      <c r="L148" s="5">
        <f t="shared" si="9"/>
        <v>10.188499927668095</v>
      </c>
      <c r="M148" s="5"/>
      <c r="N148" s="6">
        <f>AVERAGE(L148:L152)</f>
        <v>10.167226555296162</v>
      </c>
    </row>
    <row r="149" spans="1:14" x14ac:dyDescent="0.3">
      <c r="A149" s="4">
        <v>2</v>
      </c>
      <c r="B149" s="5">
        <v>80</v>
      </c>
      <c r="C149" s="5">
        <v>20.11</v>
      </c>
      <c r="D149" s="5">
        <v>-2.87</v>
      </c>
      <c r="E149" s="5">
        <v>0.94</v>
      </c>
      <c r="F149" s="5">
        <v>23.75</v>
      </c>
      <c r="G149" s="5">
        <v>13.911</v>
      </c>
      <c r="H149" s="5">
        <v>32.4</v>
      </c>
      <c r="I149" s="5">
        <v>56.856999999999999</v>
      </c>
      <c r="J149" s="5"/>
      <c r="K149" s="5">
        <f t="shared" si="8"/>
        <v>7.60299485571921</v>
      </c>
      <c r="L149" s="5">
        <f t="shared" si="9"/>
        <v>10.071732021129314</v>
      </c>
      <c r="M149" s="5"/>
      <c r="N149" s="6">
        <f>STDEV(L148:L152)</f>
        <v>8.3362769278866544E-2</v>
      </c>
    </row>
    <row r="150" spans="1:14" x14ac:dyDescent="0.3">
      <c r="A150" s="4">
        <v>3</v>
      </c>
      <c r="B150" s="5">
        <v>80</v>
      </c>
      <c r="C150" s="5">
        <v>20.239999999999998</v>
      </c>
      <c r="D150" s="5">
        <v>-2.87</v>
      </c>
      <c r="E150" s="5">
        <v>0.94</v>
      </c>
      <c r="F150" s="5">
        <v>23.774999999999999</v>
      </c>
      <c r="G150" s="5">
        <v>13.909000000000001</v>
      </c>
      <c r="H150" s="5">
        <v>32.381</v>
      </c>
      <c r="I150" s="5">
        <v>57.21</v>
      </c>
      <c r="J150" s="5"/>
      <c r="K150" s="5">
        <f t="shared" si="8"/>
        <v>7.600765255617886</v>
      </c>
      <c r="L150" s="5">
        <f t="shared" si="9"/>
        <v>10.102949110605762</v>
      </c>
      <c r="M150" s="5"/>
      <c r="N150" s="6"/>
    </row>
    <row r="151" spans="1:14" x14ac:dyDescent="0.3">
      <c r="A151" s="4">
        <v>4</v>
      </c>
      <c r="B151" s="5">
        <v>80</v>
      </c>
      <c r="C151" s="5">
        <v>20.18</v>
      </c>
      <c r="D151" s="5">
        <v>-2.87</v>
      </c>
      <c r="E151" s="5">
        <v>0.94</v>
      </c>
      <c r="F151" s="5">
        <v>23.75</v>
      </c>
      <c r="G151" s="5">
        <v>13.909000000000001</v>
      </c>
      <c r="H151" s="5">
        <v>32.241</v>
      </c>
      <c r="I151" s="5">
        <v>58.189</v>
      </c>
      <c r="J151" s="5"/>
      <c r="K151" s="5">
        <f t="shared" si="8"/>
        <v>7.5843164152198357</v>
      </c>
      <c r="L151" s="5">
        <f t="shared" si="9"/>
        <v>10.189025247981981</v>
      </c>
      <c r="M151" s="5"/>
      <c r="N151" s="6"/>
    </row>
    <row r="152" spans="1:14" x14ac:dyDescent="0.3">
      <c r="A152" s="4">
        <v>5</v>
      </c>
      <c r="B152" s="5">
        <v>80</v>
      </c>
      <c r="C152" s="5">
        <v>19.98</v>
      </c>
      <c r="D152" s="5">
        <v>-2.87</v>
      </c>
      <c r="E152" s="5">
        <v>0.94</v>
      </c>
      <c r="F152" s="5">
        <v>23.75</v>
      </c>
      <c r="G152" s="5">
        <v>13.907999999999999</v>
      </c>
      <c r="H152" s="5">
        <v>32.868000000000002</v>
      </c>
      <c r="I152" s="5">
        <v>59.277999999999999</v>
      </c>
      <c r="J152" s="5"/>
      <c r="K152" s="5">
        <f t="shared" si="8"/>
        <v>7.6577085054192073</v>
      </c>
      <c r="L152" s="5">
        <f t="shared" si="9"/>
        <v>10.283926469095658</v>
      </c>
      <c r="M152" s="5"/>
      <c r="N152" s="6"/>
    </row>
    <row r="153" spans="1:14" x14ac:dyDescent="0.3">
      <c r="A153" s="4">
        <v>1</v>
      </c>
      <c r="B153" s="5">
        <v>80</v>
      </c>
      <c r="C153" s="5">
        <v>20.18</v>
      </c>
      <c r="D153" s="5">
        <v>-2.87</v>
      </c>
      <c r="E153" s="5">
        <v>1.65</v>
      </c>
      <c r="F153" s="5">
        <v>23.9</v>
      </c>
      <c r="G153" s="5">
        <v>13.903</v>
      </c>
      <c r="H153" s="5">
        <v>31.706</v>
      </c>
      <c r="I153" s="5">
        <v>51.378</v>
      </c>
      <c r="J153" s="5"/>
      <c r="K153" s="5">
        <f t="shared" si="8"/>
        <v>7.5211269487916121</v>
      </c>
      <c r="L153" s="5">
        <f t="shared" si="9"/>
        <v>9.5741623754662228</v>
      </c>
      <c r="M153" s="5"/>
      <c r="N153" s="6">
        <f>AVERAGE(L153:L157)</f>
        <v>9.6627220420009543</v>
      </c>
    </row>
    <row r="154" spans="1:14" x14ac:dyDescent="0.3">
      <c r="A154" s="4">
        <v>2</v>
      </c>
      <c r="B154" s="5">
        <v>80</v>
      </c>
      <c r="C154" s="5">
        <v>20.05</v>
      </c>
      <c r="D154" s="5">
        <v>-2.87</v>
      </c>
      <c r="E154" s="5">
        <v>1.65</v>
      </c>
      <c r="F154" s="5">
        <v>23.95</v>
      </c>
      <c r="G154" s="5">
        <v>13.911</v>
      </c>
      <c r="H154" s="5">
        <v>32.003999999999998</v>
      </c>
      <c r="I154" s="5">
        <v>51.341999999999999</v>
      </c>
      <c r="J154" s="5"/>
      <c r="K154" s="5">
        <f t="shared" si="8"/>
        <v>7.5563892655999307</v>
      </c>
      <c r="L154" s="5">
        <f t="shared" si="9"/>
        <v>9.5708075325055013</v>
      </c>
      <c r="M154" s="5"/>
      <c r="N154" s="6">
        <f>STDEV(L153:L157)</f>
        <v>9.1149797129146587E-2</v>
      </c>
    </row>
    <row r="155" spans="1:14" x14ac:dyDescent="0.3">
      <c r="A155" s="4">
        <v>3</v>
      </c>
      <c r="B155" s="5">
        <v>80</v>
      </c>
      <c r="C155" s="5">
        <v>20.11</v>
      </c>
      <c r="D155" s="5">
        <v>-2.87</v>
      </c>
      <c r="E155" s="5">
        <v>1.65</v>
      </c>
      <c r="F155" s="5">
        <v>23.875</v>
      </c>
      <c r="G155" s="5">
        <v>13.909000000000001</v>
      </c>
      <c r="H155" s="5">
        <v>32.685000000000002</v>
      </c>
      <c r="I155" s="5">
        <v>52.643000000000001</v>
      </c>
      <c r="J155" s="5"/>
      <c r="K155" s="5">
        <f t="shared" si="8"/>
        <v>7.6363607400622424</v>
      </c>
      <c r="L155" s="5">
        <f t="shared" si="9"/>
        <v>9.691310471856168</v>
      </c>
      <c r="M155" s="5"/>
      <c r="N155" s="6"/>
    </row>
    <row r="156" spans="1:14" x14ac:dyDescent="0.3">
      <c r="A156" s="4">
        <v>4</v>
      </c>
      <c r="B156" s="5">
        <v>80</v>
      </c>
      <c r="C156" s="5">
        <v>20.18</v>
      </c>
      <c r="D156" s="5">
        <v>-2.87</v>
      </c>
      <c r="E156" s="5">
        <v>1.65</v>
      </c>
      <c r="F156" s="5">
        <v>23.925000000000001</v>
      </c>
      <c r="G156" s="5">
        <v>13.904999999999999</v>
      </c>
      <c r="H156" s="5">
        <v>30.989000000000001</v>
      </c>
      <c r="I156" s="5">
        <v>52.637</v>
      </c>
      <c r="J156" s="5"/>
      <c r="K156" s="5">
        <f t="shared" si="8"/>
        <v>7.4355992087538132</v>
      </c>
      <c r="L156" s="5">
        <f t="shared" si="9"/>
        <v>9.6907581712674844</v>
      </c>
      <c r="M156" s="5"/>
      <c r="N156" s="6"/>
    </row>
    <row r="157" spans="1:14" x14ac:dyDescent="0.3">
      <c r="A157" s="4">
        <v>5</v>
      </c>
      <c r="B157" s="5">
        <v>80</v>
      </c>
      <c r="C157" s="5">
        <v>20.11</v>
      </c>
      <c r="D157" s="5">
        <v>-2.87</v>
      </c>
      <c r="E157" s="5">
        <v>1.65</v>
      </c>
      <c r="F157" s="5">
        <v>23.925000000000001</v>
      </c>
      <c r="G157" s="5">
        <v>13.91</v>
      </c>
      <c r="H157" s="5">
        <v>32.923000000000002</v>
      </c>
      <c r="I157" s="5">
        <v>53.683</v>
      </c>
      <c r="J157" s="5"/>
      <c r="K157" s="5">
        <f t="shared" si="8"/>
        <v>7.6641128792955167</v>
      </c>
      <c r="L157" s="5">
        <f t="shared" si="9"/>
        <v>9.7865716589094038</v>
      </c>
      <c r="M157" s="5"/>
      <c r="N157" s="6"/>
    </row>
    <row r="158" spans="1:14" x14ac:dyDescent="0.3">
      <c r="A158" s="4">
        <v>1</v>
      </c>
      <c r="B158" s="5">
        <v>80</v>
      </c>
      <c r="C158" s="5">
        <v>20.309999999999999</v>
      </c>
      <c r="D158" s="5">
        <v>-2.87</v>
      </c>
      <c r="E158" s="5">
        <v>2.13</v>
      </c>
      <c r="F158" s="5">
        <v>23.75</v>
      </c>
      <c r="G158" s="5">
        <v>13.907999999999999</v>
      </c>
      <c r="H158" s="5">
        <v>30.898</v>
      </c>
      <c r="I158" s="5">
        <v>46.988</v>
      </c>
      <c r="J158" s="5"/>
      <c r="K158" s="5">
        <f t="shared" si="8"/>
        <v>7.424673767451174</v>
      </c>
      <c r="L158" s="5">
        <f t="shared" si="9"/>
        <v>9.1559976297450252</v>
      </c>
      <c r="M158" s="5"/>
      <c r="N158" s="6">
        <f>AVERAGE(L158:L162)</f>
        <v>9.146873991928997</v>
      </c>
    </row>
    <row r="159" spans="1:14" x14ac:dyDescent="0.3">
      <c r="A159" s="4">
        <v>2</v>
      </c>
      <c r="B159" s="5">
        <v>80</v>
      </c>
      <c r="C159" s="5">
        <v>20.11</v>
      </c>
      <c r="D159" s="5">
        <v>-2.87</v>
      </c>
      <c r="E159" s="5">
        <v>2.13</v>
      </c>
      <c r="F159" s="5">
        <v>23.824999999999999</v>
      </c>
      <c r="G159" s="5">
        <v>13.913</v>
      </c>
      <c r="H159" s="5">
        <v>32.210999999999999</v>
      </c>
      <c r="I159" s="5">
        <v>47.292000000000002</v>
      </c>
      <c r="J159" s="5"/>
      <c r="K159" s="5">
        <f t="shared" si="8"/>
        <v>7.5807870202615222</v>
      </c>
      <c r="L159" s="5">
        <f t="shared" si="9"/>
        <v>9.1855683263068943</v>
      </c>
      <c r="M159" s="5"/>
      <c r="N159" s="6">
        <f>STDEV(L158:L162)</f>
        <v>4.7158475037445392E-2</v>
      </c>
    </row>
    <row r="160" spans="1:14" x14ac:dyDescent="0.3">
      <c r="A160" s="4">
        <v>3</v>
      </c>
      <c r="B160" s="5">
        <v>80</v>
      </c>
      <c r="C160" s="5">
        <v>20.05</v>
      </c>
      <c r="D160" s="5">
        <v>-2.87</v>
      </c>
      <c r="E160" s="5">
        <v>2.13</v>
      </c>
      <c r="F160" s="5">
        <v>23.774999999999999</v>
      </c>
      <c r="G160" s="5">
        <v>13.904999999999999</v>
      </c>
      <c r="H160" s="5">
        <v>33.262999999999998</v>
      </c>
      <c r="I160" s="5">
        <v>46.878</v>
      </c>
      <c r="J160" s="5"/>
      <c r="K160" s="5">
        <f t="shared" si="8"/>
        <v>7.7035853649757353</v>
      </c>
      <c r="L160" s="5">
        <f t="shared" si="9"/>
        <v>9.1452741484697455</v>
      </c>
      <c r="M160" s="5"/>
      <c r="N160" s="6"/>
    </row>
    <row r="161" spans="1:14" x14ac:dyDescent="0.3">
      <c r="A161" s="4">
        <v>4</v>
      </c>
      <c r="B161" s="5">
        <v>80</v>
      </c>
      <c r="C161" s="5">
        <v>20.239999999999998</v>
      </c>
      <c r="D161" s="5">
        <v>-2.87</v>
      </c>
      <c r="E161" s="5">
        <v>2.13</v>
      </c>
      <c r="F161" s="5">
        <v>23.875</v>
      </c>
      <c r="G161" s="5">
        <v>13.907999999999999</v>
      </c>
      <c r="H161" s="5">
        <v>32.43</v>
      </c>
      <c r="I161" s="5">
        <v>47.231000000000002</v>
      </c>
      <c r="J161" s="5"/>
      <c r="K161" s="5">
        <f t="shared" si="8"/>
        <v>7.6065139463291764</v>
      </c>
      <c r="L161" s="5">
        <f t="shared" si="9"/>
        <v>9.1796423719400551</v>
      </c>
      <c r="M161" s="5"/>
      <c r="N161" s="6"/>
    </row>
    <row r="162" spans="1:14" x14ac:dyDescent="0.3">
      <c r="A162" s="4">
        <v>5</v>
      </c>
      <c r="B162" s="5">
        <v>80</v>
      </c>
      <c r="C162" s="5">
        <v>19.91</v>
      </c>
      <c r="D162" s="5">
        <v>-2.87</v>
      </c>
      <c r="E162" s="5">
        <v>2.13</v>
      </c>
      <c r="F162" s="5">
        <v>23.975000000000001</v>
      </c>
      <c r="G162" s="5">
        <v>13.907999999999999</v>
      </c>
      <c r="H162" s="5">
        <v>31.305</v>
      </c>
      <c r="I162" s="5">
        <v>46.088000000000001</v>
      </c>
      <c r="J162" s="5"/>
      <c r="K162" s="5">
        <f t="shared" si="8"/>
        <v>7.4734140745993241</v>
      </c>
      <c r="L162" s="5">
        <f t="shared" si="9"/>
        <v>9.0678874831832648</v>
      </c>
      <c r="M162" s="5"/>
      <c r="N162" s="6"/>
    </row>
    <row r="163" spans="1:14" x14ac:dyDescent="0.3">
      <c r="A163" s="4">
        <v>1</v>
      </c>
      <c r="B163" s="5">
        <v>80</v>
      </c>
      <c r="C163" s="5">
        <v>20.18</v>
      </c>
      <c r="D163" s="5">
        <v>-2.87</v>
      </c>
      <c r="E163" s="5">
        <v>2.52</v>
      </c>
      <c r="F163" s="5">
        <v>23.8</v>
      </c>
      <c r="G163" s="5">
        <v>13.904999999999999</v>
      </c>
      <c r="H163" s="5">
        <v>32.994999999999997</v>
      </c>
      <c r="I163" s="5">
        <v>42.372</v>
      </c>
      <c r="J163" s="5"/>
      <c r="K163" s="5">
        <f t="shared" si="8"/>
        <v>7.6724887071693617</v>
      </c>
      <c r="L163" s="5">
        <f t="shared" si="9"/>
        <v>8.6946413716509063</v>
      </c>
      <c r="M163" s="5"/>
      <c r="N163" s="6">
        <f>AVERAGE(L163:L167)</f>
        <v>8.6439601093091287</v>
      </c>
    </row>
    <row r="164" spans="1:14" x14ac:dyDescent="0.3">
      <c r="A164" s="4">
        <v>2</v>
      </c>
      <c r="B164" s="5">
        <v>80</v>
      </c>
      <c r="C164" s="5">
        <v>19.91</v>
      </c>
      <c r="D164" s="5">
        <v>-2.87</v>
      </c>
      <c r="E164" s="5">
        <v>2.52</v>
      </c>
      <c r="F164" s="5">
        <v>23.75</v>
      </c>
      <c r="G164" s="5">
        <v>13.909000000000001</v>
      </c>
      <c r="H164" s="5">
        <v>32.57</v>
      </c>
      <c r="I164" s="5">
        <v>41.728000000000002</v>
      </c>
      <c r="J164" s="5"/>
      <c r="K164" s="5">
        <f t="shared" si="8"/>
        <v>7.6229148887112226</v>
      </c>
      <c r="L164" s="5">
        <f t="shared" si="9"/>
        <v>8.6283146935761845</v>
      </c>
      <c r="M164" s="5"/>
      <c r="N164" s="6">
        <f>STDEV(L163:L167)</f>
        <v>5.850899560572969E-2</v>
      </c>
    </row>
    <row r="165" spans="1:14" x14ac:dyDescent="0.3">
      <c r="A165" s="4">
        <v>3</v>
      </c>
      <c r="B165" s="5">
        <v>80</v>
      </c>
      <c r="C165" s="5">
        <v>20.239999999999998</v>
      </c>
      <c r="D165" s="5">
        <v>-2.87</v>
      </c>
      <c r="E165" s="5">
        <v>2.52</v>
      </c>
      <c r="F165" s="5">
        <v>23.75</v>
      </c>
      <c r="G165" s="5">
        <v>13.91</v>
      </c>
      <c r="H165" s="5">
        <v>34.673999999999999</v>
      </c>
      <c r="I165" s="5">
        <v>41.021999999999998</v>
      </c>
      <c r="J165" s="5"/>
      <c r="K165" s="5">
        <f t="shared" si="8"/>
        <v>7.8652795664452242</v>
      </c>
      <c r="L165" s="5">
        <f t="shared" si="9"/>
        <v>8.5550116773319687</v>
      </c>
      <c r="M165" s="5"/>
      <c r="N165" s="6"/>
    </row>
    <row r="166" spans="1:14" x14ac:dyDescent="0.3">
      <c r="A166" s="4">
        <v>4</v>
      </c>
      <c r="B166" s="5">
        <v>80</v>
      </c>
      <c r="C166" s="5">
        <v>20.239999999999998</v>
      </c>
      <c r="D166" s="5">
        <v>-2.87</v>
      </c>
      <c r="E166" s="5">
        <v>2.52</v>
      </c>
      <c r="F166" s="5">
        <v>23.75</v>
      </c>
      <c r="G166" s="5">
        <v>13.909000000000001</v>
      </c>
      <c r="H166" s="5">
        <v>33.883000000000003</v>
      </c>
      <c r="I166" s="5">
        <v>42.408999999999999</v>
      </c>
      <c r="J166" s="5"/>
      <c r="K166" s="5">
        <f t="shared" si="8"/>
        <v>7.7750487261510584</v>
      </c>
      <c r="L166" s="5">
        <f t="shared" si="9"/>
        <v>8.6984367026766822</v>
      </c>
      <c r="M166" s="5"/>
      <c r="N166" s="6"/>
    </row>
    <row r="167" spans="1:14" x14ac:dyDescent="0.3">
      <c r="A167" s="4">
        <v>5</v>
      </c>
      <c r="B167" s="5">
        <v>80</v>
      </c>
      <c r="C167" s="5">
        <v>20.11</v>
      </c>
      <c r="D167" s="5">
        <v>-2.87</v>
      </c>
      <c r="E167" s="5">
        <v>2.52</v>
      </c>
      <c r="F167" s="5">
        <v>23.75</v>
      </c>
      <c r="G167" s="5">
        <v>13.904999999999999</v>
      </c>
      <c r="H167" s="5">
        <v>31.937000000000001</v>
      </c>
      <c r="I167" s="5">
        <v>41.874000000000002</v>
      </c>
      <c r="J167" s="5"/>
      <c r="K167" s="5">
        <f t="shared" si="8"/>
        <v>7.5484755152823491</v>
      </c>
      <c r="L167" s="5">
        <f t="shared" si="9"/>
        <v>8.6433961013099001</v>
      </c>
      <c r="M167" s="5"/>
      <c r="N167" s="6"/>
    </row>
    <row r="168" spans="1:14" x14ac:dyDescent="0.3">
      <c r="A168" s="4">
        <v>1</v>
      </c>
      <c r="B168" s="5">
        <v>80</v>
      </c>
      <c r="C168" s="5">
        <v>20.37</v>
      </c>
      <c r="D168" s="5">
        <v>-2.87</v>
      </c>
      <c r="E168" s="5">
        <v>2.87</v>
      </c>
      <c r="F168" s="5">
        <v>24.024999999999999</v>
      </c>
      <c r="G168" s="5">
        <v>13.907</v>
      </c>
      <c r="H168" s="5">
        <v>34.826000000000001</v>
      </c>
      <c r="I168" s="5">
        <v>32.040999999999997</v>
      </c>
      <c r="J168" s="5"/>
      <c r="K168" s="5">
        <f t="shared" si="8"/>
        <v>7.8825001807179635</v>
      </c>
      <c r="L168" s="5">
        <f t="shared" si="9"/>
        <v>7.560755995409659</v>
      </c>
      <c r="M168" s="5"/>
      <c r="N168" s="6">
        <f>AVERAGE(L168:L172)</f>
        <v>7.4408007534244502</v>
      </c>
    </row>
    <row r="169" spans="1:14" x14ac:dyDescent="0.3">
      <c r="A169" s="4">
        <v>2</v>
      </c>
      <c r="B169" s="5">
        <v>80</v>
      </c>
      <c r="C169" s="5">
        <v>20.18</v>
      </c>
      <c r="D169" s="5">
        <v>-2.87</v>
      </c>
      <c r="E169" s="5">
        <v>2.87</v>
      </c>
      <c r="F169" s="5">
        <v>24</v>
      </c>
      <c r="G169" s="5">
        <v>13.911</v>
      </c>
      <c r="H169" s="5">
        <v>32.076999999999998</v>
      </c>
      <c r="I169" s="5">
        <v>31.044</v>
      </c>
      <c r="J169" s="5"/>
      <c r="K169" s="5">
        <f t="shared" si="8"/>
        <v>7.565002286163045</v>
      </c>
      <c r="L169" s="5">
        <f t="shared" si="9"/>
        <v>7.4421947210372075</v>
      </c>
      <c r="M169" s="5"/>
      <c r="N169" s="6">
        <f>STDEV(L168:L172)</f>
        <v>9.4783250355105986E-2</v>
      </c>
    </row>
    <row r="170" spans="1:14" x14ac:dyDescent="0.3">
      <c r="A170" s="4">
        <v>3</v>
      </c>
      <c r="B170" s="5">
        <v>80</v>
      </c>
      <c r="C170" s="5">
        <v>20.11</v>
      </c>
      <c r="D170" s="5">
        <v>-2.87</v>
      </c>
      <c r="E170" s="5">
        <v>2.87</v>
      </c>
      <c r="F170" s="5">
        <v>24.2</v>
      </c>
      <c r="G170" s="5">
        <v>13.904</v>
      </c>
      <c r="H170" s="5">
        <v>33.402999999999999</v>
      </c>
      <c r="I170" s="5">
        <v>31.36</v>
      </c>
      <c r="J170" s="5"/>
      <c r="K170" s="5">
        <f t="shared" si="8"/>
        <v>7.7197800784933825</v>
      </c>
      <c r="L170" s="5">
        <f t="shared" si="9"/>
        <v>7.4799762434805235</v>
      </c>
      <c r="M170" s="5"/>
      <c r="N170" s="6"/>
    </row>
    <row r="171" spans="1:14" x14ac:dyDescent="0.3">
      <c r="A171" s="4">
        <v>4</v>
      </c>
      <c r="B171" s="5">
        <v>80</v>
      </c>
      <c r="C171" s="5">
        <v>20.239999999999998</v>
      </c>
      <c r="D171" s="5">
        <v>-2.87</v>
      </c>
      <c r="E171" s="5">
        <v>2.87</v>
      </c>
      <c r="F171" s="5">
        <v>24.25</v>
      </c>
      <c r="G171" s="5">
        <v>13.907999999999999</v>
      </c>
      <c r="H171" s="5">
        <v>32.472999999999999</v>
      </c>
      <c r="I171" s="5">
        <v>29.876000000000001</v>
      </c>
      <c r="J171" s="5"/>
      <c r="K171" s="5">
        <f t="shared" si="8"/>
        <v>7.6115551388971108</v>
      </c>
      <c r="L171" s="5">
        <f t="shared" si="9"/>
        <v>7.3008498521598382</v>
      </c>
      <c r="M171" s="5"/>
      <c r="N171" s="6"/>
    </row>
    <row r="172" spans="1:14" ht="15" thickBot="1" x14ac:dyDescent="0.35">
      <c r="A172" s="7">
        <v>5</v>
      </c>
      <c r="B172" s="8">
        <v>80</v>
      </c>
      <c r="C172" s="8">
        <v>20.239999999999998</v>
      </c>
      <c r="D172" s="8">
        <v>-2.87</v>
      </c>
      <c r="E172" s="8">
        <v>2.87</v>
      </c>
      <c r="F172" s="8">
        <v>24.1</v>
      </c>
      <c r="G172" s="8">
        <v>13.907999999999999</v>
      </c>
      <c r="H172" s="8">
        <v>33.445999999999998</v>
      </c>
      <c r="I172" s="8">
        <v>30.861000000000001</v>
      </c>
      <c r="J172" s="8"/>
      <c r="K172" s="8">
        <f t="shared" si="8"/>
        <v>7.7247473536080156</v>
      </c>
      <c r="L172" s="8">
        <f t="shared" si="9"/>
        <v>7.4202269550350257</v>
      </c>
      <c r="M172" s="8"/>
      <c r="N172" s="9"/>
    </row>
    <row r="173" spans="1:14" x14ac:dyDescent="0.3">
      <c r="A173" s="1">
        <v>1</v>
      </c>
      <c r="B173" s="2">
        <v>80</v>
      </c>
      <c r="C173" s="2">
        <v>20.11</v>
      </c>
      <c r="D173" s="2">
        <v>-2.87</v>
      </c>
      <c r="E173" s="2">
        <v>-1.5</v>
      </c>
      <c r="F173" s="2">
        <v>24.2</v>
      </c>
      <c r="G173" s="2">
        <v>13.909000000000001</v>
      </c>
      <c r="H173" s="2">
        <v>34.96</v>
      </c>
      <c r="I173" s="2">
        <v>65.668999999999997</v>
      </c>
      <c r="J173" s="2"/>
      <c r="K173" s="2">
        <f t="shared" ref="K173:K217" si="10">SQRT(2*(H173)/$N$1)</f>
        <v>7.8976503693144204</v>
      </c>
      <c r="L173" s="2">
        <f t="shared" ref="L173:L217" si="11">SQRT(2*(I173)/$N$1)</f>
        <v>10.824114882034586</v>
      </c>
      <c r="M173" s="2">
        <f>AVERAGE(K173:K177)</f>
        <v>7.7402252506351044</v>
      </c>
      <c r="N173" s="3"/>
    </row>
    <row r="174" spans="1:14" x14ac:dyDescent="0.3">
      <c r="A174" s="4">
        <v>2</v>
      </c>
      <c r="B174" s="5">
        <v>80</v>
      </c>
      <c r="C174" s="5">
        <v>20.05</v>
      </c>
      <c r="D174" s="5">
        <v>-2.87</v>
      </c>
      <c r="E174" s="5">
        <v>-1.5</v>
      </c>
      <c r="F174" s="5">
        <v>24.25</v>
      </c>
      <c r="G174" s="5">
        <v>13.904999999999999</v>
      </c>
      <c r="H174" s="5">
        <v>33.962000000000003</v>
      </c>
      <c r="I174" s="5">
        <v>66.459000000000003</v>
      </c>
      <c r="J174" s="5"/>
      <c r="K174" s="5">
        <f t="shared" si="10"/>
        <v>7.7841074169311755</v>
      </c>
      <c r="L174" s="5">
        <f t="shared" si="11"/>
        <v>10.889027450717531</v>
      </c>
      <c r="M174" s="5">
        <f>STDEV(K173:K177)</f>
        <v>0.10597425562104622</v>
      </c>
      <c r="N174" s="6"/>
    </row>
    <row r="175" spans="1:14" x14ac:dyDescent="0.3">
      <c r="A175" s="4">
        <v>3</v>
      </c>
      <c r="B175" s="5">
        <v>80</v>
      </c>
      <c r="C175" s="5">
        <v>20.18</v>
      </c>
      <c r="D175" s="5">
        <v>-2.87</v>
      </c>
      <c r="E175" s="5">
        <v>-1.5</v>
      </c>
      <c r="F175" s="5">
        <v>24.2</v>
      </c>
      <c r="G175" s="5">
        <v>13.907</v>
      </c>
      <c r="H175" s="5">
        <v>32.539000000000001</v>
      </c>
      <c r="I175" s="5">
        <v>65.462000000000003</v>
      </c>
      <c r="J175" s="5"/>
      <c r="K175" s="5">
        <f t="shared" si="10"/>
        <v>7.6192862946346551</v>
      </c>
      <c r="L175" s="5">
        <f t="shared" si="11"/>
        <v>10.80704167967307</v>
      </c>
      <c r="M175" s="5"/>
      <c r="N175" s="6"/>
    </row>
    <row r="176" spans="1:14" x14ac:dyDescent="0.3">
      <c r="A176" s="4">
        <v>4</v>
      </c>
      <c r="B176" s="5">
        <v>80</v>
      </c>
      <c r="C176" s="5">
        <v>19.91</v>
      </c>
      <c r="D176" s="5">
        <v>-2.87</v>
      </c>
      <c r="E176" s="5">
        <v>-1.5</v>
      </c>
      <c r="F176" s="5">
        <v>24.175000000000001</v>
      </c>
      <c r="G176" s="5">
        <v>13.906000000000001</v>
      </c>
      <c r="H176" s="5">
        <v>33.347999999999999</v>
      </c>
      <c r="I176" s="5">
        <v>64.44</v>
      </c>
      <c r="J176" s="5"/>
      <c r="K176" s="5">
        <f t="shared" si="10"/>
        <v>7.7134219246511835</v>
      </c>
      <c r="L176" s="5">
        <f t="shared" si="11"/>
        <v>10.722349456947187</v>
      </c>
      <c r="M176" s="5"/>
      <c r="N176" s="6"/>
    </row>
    <row r="177" spans="1:14" x14ac:dyDescent="0.3">
      <c r="A177" s="4">
        <v>5</v>
      </c>
      <c r="B177" s="5">
        <v>80</v>
      </c>
      <c r="C177" s="5">
        <v>20.309999999999999</v>
      </c>
      <c r="D177" s="5">
        <v>-2.87</v>
      </c>
      <c r="E177" s="5">
        <v>-1.5</v>
      </c>
      <c r="F177" s="5">
        <v>24.25</v>
      </c>
      <c r="G177" s="5">
        <v>13.906000000000001</v>
      </c>
      <c r="H177" s="5">
        <v>33.116999999999997</v>
      </c>
      <c r="I177" s="5">
        <v>67.384</v>
      </c>
      <c r="J177" s="5"/>
      <c r="K177" s="5">
        <f t="shared" si="10"/>
        <v>7.6866602476440873</v>
      </c>
      <c r="L177" s="5">
        <f t="shared" si="11"/>
        <v>10.964544269768396</v>
      </c>
      <c r="M177" s="5"/>
      <c r="N177" s="6"/>
    </row>
    <row r="178" spans="1:14" x14ac:dyDescent="0.3">
      <c r="A178" s="4">
        <v>1</v>
      </c>
      <c r="B178" s="5">
        <v>80</v>
      </c>
      <c r="C178" s="5">
        <v>20.11</v>
      </c>
      <c r="D178" s="5">
        <v>-2.87</v>
      </c>
      <c r="E178" s="5">
        <v>-2.52</v>
      </c>
      <c r="F178" s="5">
        <v>23.75</v>
      </c>
      <c r="G178" s="5">
        <v>13.911</v>
      </c>
      <c r="H178" s="5">
        <v>32.521000000000001</v>
      </c>
      <c r="I178" s="5">
        <v>47.540999999999997</v>
      </c>
      <c r="J178" s="5"/>
      <c r="K178" s="5">
        <v>7.6171785758142105</v>
      </c>
      <c r="L178" s="5">
        <v>9.2097183282657795</v>
      </c>
      <c r="M178" s="5">
        <f>AVERAGE(K178:K182)</f>
        <v>7.6292574749708582</v>
      </c>
      <c r="N178" s="6"/>
    </row>
    <row r="179" spans="1:14" x14ac:dyDescent="0.3">
      <c r="A179" s="4">
        <v>2</v>
      </c>
      <c r="B179" s="5">
        <v>80</v>
      </c>
      <c r="C179" s="5">
        <v>20.11</v>
      </c>
      <c r="D179" s="5">
        <v>-2.87</v>
      </c>
      <c r="E179" s="5">
        <v>-2.52</v>
      </c>
      <c r="F179" s="5">
        <v>23.824999999999999</v>
      </c>
      <c r="G179" s="5">
        <v>13.907</v>
      </c>
      <c r="H179" s="5">
        <v>33.055999999999997</v>
      </c>
      <c r="I179" s="5">
        <v>47.625999999999998</v>
      </c>
      <c r="J179" s="5"/>
      <c r="K179" s="5">
        <v>7.6795777463462551</v>
      </c>
      <c r="L179" s="5">
        <v>9.2179478192391535</v>
      </c>
      <c r="M179" s="5">
        <f>STDEV(K178:K182)</f>
        <v>7.5827700468765982E-2</v>
      </c>
      <c r="N179" s="6"/>
    </row>
    <row r="180" spans="1:14" x14ac:dyDescent="0.3">
      <c r="A180" s="4">
        <v>3</v>
      </c>
      <c r="B180" s="5">
        <v>80</v>
      </c>
      <c r="C180" s="5">
        <v>20.11</v>
      </c>
      <c r="D180" s="5">
        <v>-2.87</v>
      </c>
      <c r="E180" s="5">
        <v>-2.52</v>
      </c>
      <c r="F180" s="5">
        <v>23.774999999999999</v>
      </c>
      <c r="G180" s="5">
        <v>13.91</v>
      </c>
      <c r="H180" s="5">
        <v>32.612000000000002</v>
      </c>
      <c r="I180" s="5">
        <v>47.03</v>
      </c>
      <c r="J180" s="5"/>
      <c r="K180" s="5">
        <v>7.6278282948677942</v>
      </c>
      <c r="L180" s="5">
        <v>9.160088738180816</v>
      </c>
      <c r="M180" s="5"/>
      <c r="N180" s="6"/>
    </row>
    <row r="181" spans="1:14" x14ac:dyDescent="0.3">
      <c r="A181" s="4">
        <v>4</v>
      </c>
      <c r="B181" s="5">
        <v>80</v>
      </c>
      <c r="C181" s="5">
        <v>20.18</v>
      </c>
      <c r="D181" s="5">
        <v>-2.87</v>
      </c>
      <c r="E181" s="5">
        <v>-2.52</v>
      </c>
      <c r="F181" s="5">
        <v>23.9</v>
      </c>
      <c r="G181" s="5">
        <v>13.907999999999999</v>
      </c>
      <c r="H181" s="5">
        <v>31.626999999999999</v>
      </c>
      <c r="I181" s="5">
        <v>45.345999999999997</v>
      </c>
      <c r="J181" s="5"/>
      <c r="K181" s="5">
        <v>7.511751127103433</v>
      </c>
      <c r="L181" s="5">
        <v>8.9945964549859809</v>
      </c>
      <c r="M181" s="5"/>
      <c r="N181" s="6"/>
    </row>
    <row r="182" spans="1:14" x14ac:dyDescent="0.3">
      <c r="A182" s="4">
        <v>5</v>
      </c>
      <c r="B182" s="5">
        <v>80</v>
      </c>
      <c r="C182" s="5">
        <v>20.239999999999998</v>
      </c>
      <c r="D182" s="5">
        <v>-2.87</v>
      </c>
      <c r="E182" s="5">
        <v>-2.52</v>
      </c>
      <c r="F182" s="5">
        <v>23.975000000000001</v>
      </c>
      <c r="G182" s="5">
        <v>13.907</v>
      </c>
      <c r="H182" s="5">
        <v>33.317999999999998</v>
      </c>
      <c r="I182" s="5">
        <v>46.488999999999997</v>
      </c>
      <c r="J182" s="5"/>
      <c r="K182" s="5">
        <v>7.7099516307225988</v>
      </c>
      <c r="L182" s="5">
        <v>9.107250740870807</v>
      </c>
      <c r="M182" s="5"/>
      <c r="N182" s="6"/>
    </row>
    <row r="183" spans="1:14" x14ac:dyDescent="0.3">
      <c r="A183" s="4">
        <v>1</v>
      </c>
      <c r="B183" s="5">
        <v>80</v>
      </c>
      <c r="C183" s="5">
        <v>20.239999999999998</v>
      </c>
      <c r="D183" s="5">
        <v>-2.13</v>
      </c>
      <c r="E183" s="5">
        <v>-2.87</v>
      </c>
      <c r="F183" s="5">
        <v>24.5</v>
      </c>
      <c r="G183" s="5">
        <v>13.897</v>
      </c>
      <c r="H183" s="5">
        <v>63.814</v>
      </c>
      <c r="I183" s="5">
        <v>26.446000000000002</v>
      </c>
      <c r="J183" s="5"/>
      <c r="K183" s="5">
        <f t="shared" si="10"/>
        <v>10.670141420357055</v>
      </c>
      <c r="L183" s="5">
        <f t="shared" si="11"/>
        <v>6.8689789951146016</v>
      </c>
      <c r="M183" s="5">
        <f>AVERAGE(K183:K187)</f>
        <v>10.716222680289141</v>
      </c>
      <c r="N183" s="6"/>
    </row>
    <row r="184" spans="1:14" x14ac:dyDescent="0.3">
      <c r="A184" s="4">
        <v>2</v>
      </c>
      <c r="B184" s="5">
        <v>80</v>
      </c>
      <c r="C184" s="5">
        <v>20.18</v>
      </c>
      <c r="D184" s="5">
        <v>-2.13</v>
      </c>
      <c r="E184" s="5">
        <v>-2.87</v>
      </c>
      <c r="F184" s="5">
        <v>24.5</v>
      </c>
      <c r="G184" s="5">
        <v>13.9</v>
      </c>
      <c r="H184" s="5">
        <v>63.722999999999999</v>
      </c>
      <c r="I184" s="5">
        <v>27.073</v>
      </c>
      <c r="J184" s="5"/>
      <c r="K184" s="5">
        <f t="shared" si="10"/>
        <v>10.662530791996641</v>
      </c>
      <c r="L184" s="5">
        <f t="shared" si="11"/>
        <v>6.9499292444687679</v>
      </c>
      <c r="M184" s="5">
        <f>STDEV(K183:K187)</f>
        <v>0.10369303568129844</v>
      </c>
      <c r="N184" s="6"/>
    </row>
    <row r="185" spans="1:14" x14ac:dyDescent="0.3">
      <c r="A185" s="4">
        <v>3</v>
      </c>
      <c r="B185" s="5">
        <v>80</v>
      </c>
      <c r="C185" s="5">
        <v>20.239999999999998</v>
      </c>
      <c r="D185" s="5">
        <v>-2.13</v>
      </c>
      <c r="E185" s="5">
        <v>-2.87</v>
      </c>
      <c r="F185" s="5">
        <v>24.5</v>
      </c>
      <c r="G185" s="5">
        <v>13.904</v>
      </c>
      <c r="H185" s="5">
        <v>63.582999999999998</v>
      </c>
      <c r="I185" s="5">
        <v>27.856999999999999</v>
      </c>
      <c r="J185" s="5"/>
      <c r="K185" s="5">
        <f t="shared" si="10"/>
        <v>10.650811513938342</v>
      </c>
      <c r="L185" s="5">
        <f t="shared" si="11"/>
        <v>7.0498416732716791</v>
      </c>
      <c r="M185" s="5"/>
      <c r="N185" s="6"/>
    </row>
    <row r="186" spans="1:14" x14ac:dyDescent="0.3">
      <c r="A186" s="4">
        <v>4</v>
      </c>
      <c r="B186" s="5">
        <v>80</v>
      </c>
      <c r="C186" s="5">
        <v>20.239999999999998</v>
      </c>
      <c r="D186" s="5">
        <v>-2.13</v>
      </c>
      <c r="E186" s="5">
        <v>-2.87</v>
      </c>
      <c r="F186" s="5">
        <v>24.45</v>
      </c>
      <c r="G186" s="5">
        <v>13.896000000000001</v>
      </c>
      <c r="H186" s="5">
        <v>66.581000000000003</v>
      </c>
      <c r="I186" s="5">
        <v>28.361999999999998</v>
      </c>
      <c r="J186" s="5"/>
      <c r="K186" s="5">
        <f t="shared" si="10"/>
        <v>10.899017461383867</v>
      </c>
      <c r="L186" s="5">
        <f t="shared" si="11"/>
        <v>7.1134554813342419</v>
      </c>
      <c r="M186" s="5"/>
      <c r="N186" s="6"/>
    </row>
    <row r="187" spans="1:14" x14ac:dyDescent="0.3">
      <c r="A187" s="4">
        <v>5</v>
      </c>
      <c r="B187" s="5">
        <v>80</v>
      </c>
      <c r="C187" s="5">
        <v>20.239999999999998</v>
      </c>
      <c r="D187" s="5">
        <v>-2.13</v>
      </c>
      <c r="E187" s="5">
        <v>-2.87</v>
      </c>
      <c r="F187" s="5">
        <v>24.425000000000001</v>
      </c>
      <c r="G187" s="5">
        <v>13.894</v>
      </c>
      <c r="H187" s="5">
        <v>64.155000000000001</v>
      </c>
      <c r="I187" s="5">
        <v>28.306999999999999</v>
      </c>
      <c r="J187" s="5"/>
      <c r="K187" s="5">
        <f t="shared" si="10"/>
        <v>10.698612213769804</v>
      </c>
      <c r="L187" s="5">
        <f t="shared" si="11"/>
        <v>7.106554876472174</v>
      </c>
      <c r="M187" s="5"/>
      <c r="N187" s="6"/>
    </row>
    <row r="188" spans="1:14" x14ac:dyDescent="0.3">
      <c r="A188" s="4">
        <v>1</v>
      </c>
      <c r="B188" s="5">
        <v>80</v>
      </c>
      <c r="C188" s="5">
        <v>20.18</v>
      </c>
      <c r="D188" s="5">
        <v>-1.65</v>
      </c>
      <c r="E188" s="5">
        <v>-2.87</v>
      </c>
      <c r="F188" s="5">
        <v>24</v>
      </c>
      <c r="G188" s="5">
        <v>13.9</v>
      </c>
      <c r="H188" s="5">
        <v>72.965999999999994</v>
      </c>
      <c r="I188" s="5">
        <v>29.097999999999999</v>
      </c>
      <c r="J188" s="5"/>
      <c r="K188" s="5">
        <f t="shared" si="10"/>
        <v>11.409653643005349</v>
      </c>
      <c r="L188" s="5">
        <f t="shared" si="11"/>
        <v>7.205162189474156</v>
      </c>
      <c r="M188" s="5">
        <f>AVERAGE(K188:K192)</f>
        <v>11.386571663392093</v>
      </c>
      <c r="N188" s="6"/>
    </row>
    <row r="189" spans="1:14" x14ac:dyDescent="0.3">
      <c r="A189" s="4">
        <v>2</v>
      </c>
      <c r="B189" s="5">
        <v>80</v>
      </c>
      <c r="C189" s="5">
        <v>20.239999999999998</v>
      </c>
      <c r="D189" s="5">
        <v>-1.65</v>
      </c>
      <c r="E189" s="5">
        <v>-2.87</v>
      </c>
      <c r="F189" s="5">
        <v>24.024999999999999</v>
      </c>
      <c r="G189" s="5">
        <v>13.9</v>
      </c>
      <c r="H189" s="5">
        <v>73.379000000000005</v>
      </c>
      <c r="I189" s="5">
        <v>28.908999999999999</v>
      </c>
      <c r="J189" s="5"/>
      <c r="K189" s="5">
        <f t="shared" si="10"/>
        <v>11.441898372149982</v>
      </c>
      <c r="L189" s="5">
        <f t="shared" si="11"/>
        <v>7.1817242530676992</v>
      </c>
      <c r="M189" s="5">
        <f>STDEV(K188:K192)</f>
        <v>6.2024558485073038E-2</v>
      </c>
      <c r="N189" s="6"/>
    </row>
    <row r="190" spans="1:14" x14ac:dyDescent="0.3">
      <c r="A190" s="4">
        <v>3</v>
      </c>
      <c r="B190" s="5">
        <v>80</v>
      </c>
      <c r="C190" s="5">
        <v>20.18</v>
      </c>
      <c r="D190" s="5">
        <v>-1.65</v>
      </c>
      <c r="E190" s="5">
        <v>-2.87</v>
      </c>
      <c r="F190" s="5">
        <v>24</v>
      </c>
      <c r="G190" s="5">
        <v>13.904</v>
      </c>
      <c r="H190" s="5">
        <v>72.430999999999997</v>
      </c>
      <c r="I190" s="5">
        <v>28.780999999999999</v>
      </c>
      <c r="J190" s="5"/>
      <c r="K190" s="5">
        <f t="shared" si="10"/>
        <v>11.367747857293969</v>
      </c>
      <c r="L190" s="5">
        <f t="shared" si="11"/>
        <v>7.1658074016895563</v>
      </c>
      <c r="M190" s="5"/>
      <c r="N190" s="6"/>
    </row>
    <row r="191" spans="1:14" x14ac:dyDescent="0.3">
      <c r="A191" s="4">
        <v>4</v>
      </c>
      <c r="B191" s="5">
        <v>80</v>
      </c>
      <c r="C191" s="5">
        <v>20.239999999999998</v>
      </c>
      <c r="D191" s="5">
        <v>-1.65</v>
      </c>
      <c r="E191" s="5">
        <v>-2.87</v>
      </c>
      <c r="F191" s="5">
        <v>24</v>
      </c>
      <c r="G191" s="5">
        <v>13.904999999999999</v>
      </c>
      <c r="H191" s="5">
        <v>73.179000000000002</v>
      </c>
      <c r="I191" s="5">
        <v>28.581</v>
      </c>
      <c r="J191" s="5"/>
      <c r="K191" s="5">
        <f t="shared" si="10"/>
        <v>11.42629485417554</v>
      </c>
      <c r="L191" s="5">
        <f t="shared" si="11"/>
        <v>7.1408662957696443</v>
      </c>
      <c r="M191" s="5"/>
      <c r="N191" s="6"/>
    </row>
    <row r="192" spans="1:14" x14ac:dyDescent="0.3">
      <c r="A192" s="4">
        <v>5</v>
      </c>
      <c r="B192" s="5">
        <v>80</v>
      </c>
      <c r="C192" s="5">
        <v>20.11</v>
      </c>
      <c r="D192" s="5">
        <v>-1.65</v>
      </c>
      <c r="E192" s="5">
        <v>-2.87</v>
      </c>
      <c r="F192" s="5">
        <v>24.024999999999999</v>
      </c>
      <c r="G192" s="5">
        <v>13.897</v>
      </c>
      <c r="H192" s="5">
        <v>71.409000000000006</v>
      </c>
      <c r="I192" s="5">
        <v>27.638000000000002</v>
      </c>
      <c r="J192" s="5"/>
      <c r="K192" s="5">
        <f t="shared" si="10"/>
        <v>11.287263590335629</v>
      </c>
      <c r="L192" s="5">
        <f t="shared" si="11"/>
        <v>7.022075551363951</v>
      </c>
      <c r="M192" s="5"/>
      <c r="N192" s="6"/>
    </row>
    <row r="193" spans="1:14" x14ac:dyDescent="0.3">
      <c r="A193" s="4">
        <v>1</v>
      </c>
      <c r="B193" s="5">
        <v>80</v>
      </c>
      <c r="C193" s="5">
        <v>20.18</v>
      </c>
      <c r="D193" s="5">
        <v>-0.94</v>
      </c>
      <c r="E193" s="5">
        <v>-2.87</v>
      </c>
      <c r="F193" s="5">
        <v>24</v>
      </c>
      <c r="G193" s="5">
        <v>13.9</v>
      </c>
      <c r="H193" s="5">
        <v>74.626000000000005</v>
      </c>
      <c r="I193" s="5">
        <v>28.988</v>
      </c>
      <c r="J193" s="5"/>
      <c r="K193" s="5">
        <f t="shared" si="10"/>
        <v>11.538710397828687</v>
      </c>
      <c r="L193" s="5">
        <f t="shared" si="11"/>
        <v>7.1915303539233246</v>
      </c>
      <c r="M193" s="5">
        <f>AVERAGE(K193:K197)</f>
        <v>11.463378150114828</v>
      </c>
      <c r="N193" s="6"/>
    </row>
    <row r="194" spans="1:14" x14ac:dyDescent="0.3">
      <c r="A194" s="4">
        <v>2</v>
      </c>
      <c r="B194" s="5">
        <v>80</v>
      </c>
      <c r="C194" s="5">
        <v>19.98</v>
      </c>
      <c r="D194" s="5">
        <v>-0.94</v>
      </c>
      <c r="E194" s="5">
        <v>-2.87</v>
      </c>
      <c r="F194" s="5">
        <v>24</v>
      </c>
      <c r="G194" s="5">
        <v>13.898999999999999</v>
      </c>
      <c r="H194" s="5">
        <v>75.623000000000005</v>
      </c>
      <c r="I194" s="5">
        <v>28.513999999999999</v>
      </c>
      <c r="J194" s="5"/>
      <c r="K194" s="5">
        <f t="shared" si="10"/>
        <v>11.615532988255378</v>
      </c>
      <c r="L194" s="5">
        <f t="shared" si="11"/>
        <v>7.1324915229954629</v>
      </c>
      <c r="M194" s="5">
        <f>STDEV(K193:K197)</f>
        <v>0.1100832715070838</v>
      </c>
      <c r="N194" s="6"/>
    </row>
    <row r="195" spans="1:14" x14ac:dyDescent="0.3">
      <c r="A195" s="4">
        <v>3</v>
      </c>
      <c r="B195" s="5">
        <v>80</v>
      </c>
      <c r="C195" s="5">
        <v>20.239999999999998</v>
      </c>
      <c r="D195" s="5">
        <v>-0.94</v>
      </c>
      <c r="E195" s="5">
        <v>-2.87</v>
      </c>
      <c r="F195" s="5">
        <v>24</v>
      </c>
      <c r="G195" s="5">
        <v>13.903</v>
      </c>
      <c r="H195" s="5">
        <v>72.863</v>
      </c>
      <c r="I195" s="5">
        <v>27.114999999999998</v>
      </c>
      <c r="J195" s="5"/>
      <c r="K195" s="5">
        <f t="shared" si="10"/>
        <v>11.401597772126479</v>
      </c>
      <c r="L195" s="5">
        <f t="shared" si="11"/>
        <v>6.9553180803305246</v>
      </c>
      <c r="M195" s="5"/>
      <c r="N195" s="6"/>
    </row>
    <row r="196" spans="1:14" x14ac:dyDescent="0.3">
      <c r="A196" s="4">
        <v>4</v>
      </c>
      <c r="B196" s="5">
        <v>80</v>
      </c>
      <c r="C196" s="5">
        <v>20.05</v>
      </c>
      <c r="D196" s="5">
        <v>-0.94</v>
      </c>
      <c r="E196" s="5">
        <v>-2.87</v>
      </c>
      <c r="F196" s="5">
        <v>24</v>
      </c>
      <c r="G196" s="5">
        <v>13.898</v>
      </c>
      <c r="H196" s="5">
        <v>73.007999999999996</v>
      </c>
      <c r="I196" s="5">
        <v>29.268000000000001</v>
      </c>
      <c r="J196" s="5"/>
      <c r="K196" s="5">
        <f t="shared" si="10"/>
        <v>11.412936929151748</v>
      </c>
      <c r="L196" s="5">
        <f t="shared" si="11"/>
        <v>7.2261789903842315</v>
      </c>
      <c r="M196" s="5"/>
      <c r="N196" s="6"/>
    </row>
    <row r="197" spans="1:14" x14ac:dyDescent="0.3">
      <c r="A197" s="4">
        <v>5</v>
      </c>
      <c r="B197" s="5">
        <v>80</v>
      </c>
      <c r="C197" s="5">
        <v>20.440000000000001</v>
      </c>
      <c r="D197" s="5">
        <v>-0.94</v>
      </c>
      <c r="E197" s="5">
        <v>-2.87</v>
      </c>
      <c r="F197" s="5">
        <v>24</v>
      </c>
      <c r="G197" s="5">
        <v>13.9</v>
      </c>
      <c r="H197" s="5">
        <v>72.180999999999997</v>
      </c>
      <c r="I197" s="5">
        <v>27.103000000000002</v>
      </c>
      <c r="J197" s="5"/>
      <c r="K197" s="5">
        <f t="shared" si="10"/>
        <v>11.34811266321185</v>
      </c>
      <c r="L197" s="5">
        <f t="shared" si="11"/>
        <v>6.9537788390723003</v>
      </c>
      <c r="M197" s="5"/>
      <c r="N197" s="6"/>
    </row>
    <row r="198" spans="1:14" x14ac:dyDescent="0.3">
      <c r="A198" s="4">
        <v>1</v>
      </c>
      <c r="B198" s="5">
        <v>80</v>
      </c>
      <c r="C198" s="5">
        <v>20.239999999999998</v>
      </c>
      <c r="D198" s="5">
        <v>0</v>
      </c>
      <c r="E198" s="5">
        <v>-2.87</v>
      </c>
      <c r="F198" s="5">
        <v>24</v>
      </c>
      <c r="G198" s="5">
        <v>13.901</v>
      </c>
      <c r="H198" s="5">
        <v>69.244</v>
      </c>
      <c r="I198" s="5">
        <v>27.734999999999999</v>
      </c>
      <c r="J198" s="5"/>
      <c r="K198" s="5">
        <f t="shared" si="10"/>
        <v>11.114841280889959</v>
      </c>
      <c r="L198" s="5">
        <f t="shared" si="11"/>
        <v>7.0343873092919447</v>
      </c>
      <c r="M198" s="5">
        <f>AVERAGE(K198:K202)</f>
        <v>11.146944988553118</v>
      </c>
      <c r="N198" s="6"/>
    </row>
    <row r="199" spans="1:14" x14ac:dyDescent="0.3">
      <c r="A199" s="4">
        <v>2</v>
      </c>
      <c r="B199" s="5">
        <v>80</v>
      </c>
      <c r="C199" s="5">
        <v>20.18</v>
      </c>
      <c r="D199" s="5">
        <v>0</v>
      </c>
      <c r="E199" s="5">
        <v>-2.87</v>
      </c>
      <c r="F199" s="5">
        <v>24</v>
      </c>
      <c r="G199" s="5">
        <v>13.896000000000001</v>
      </c>
      <c r="H199" s="5">
        <v>69.384</v>
      </c>
      <c r="I199" s="5">
        <v>28.721</v>
      </c>
      <c r="J199" s="5"/>
      <c r="K199" s="5">
        <f t="shared" si="10"/>
        <v>11.126071799346368</v>
      </c>
      <c r="L199" s="5">
        <f t="shared" si="11"/>
        <v>7.1583341944124017</v>
      </c>
      <c r="M199" s="5">
        <f>STDEV(K198:K202)</f>
        <v>4.7660829807975889E-2</v>
      </c>
      <c r="N199" s="6"/>
    </row>
    <row r="200" spans="1:14" x14ac:dyDescent="0.3">
      <c r="A200" s="4">
        <v>3</v>
      </c>
      <c r="B200" s="5">
        <v>80</v>
      </c>
      <c r="C200" s="5">
        <v>20.18</v>
      </c>
      <c r="D200" s="5">
        <v>0</v>
      </c>
      <c r="E200" s="5">
        <v>-2.87</v>
      </c>
      <c r="F200" s="5">
        <v>24</v>
      </c>
      <c r="G200" s="5">
        <v>13.901</v>
      </c>
      <c r="H200" s="5">
        <v>70.686000000000007</v>
      </c>
      <c r="I200" s="5">
        <v>28.593</v>
      </c>
      <c r="J200" s="5"/>
      <c r="K200" s="5">
        <f t="shared" si="10"/>
        <v>11.22997772229205</v>
      </c>
      <c r="L200" s="5">
        <f t="shared" si="11"/>
        <v>7.1423652181824107</v>
      </c>
      <c r="M200" s="5"/>
      <c r="N200" s="6"/>
    </row>
    <row r="201" spans="1:14" x14ac:dyDescent="0.3">
      <c r="A201" s="4">
        <v>4</v>
      </c>
      <c r="B201" s="5">
        <v>80</v>
      </c>
      <c r="C201" s="5">
        <v>20.239999999999998</v>
      </c>
      <c r="D201" s="5">
        <v>0</v>
      </c>
      <c r="E201" s="5">
        <v>-2.87</v>
      </c>
      <c r="F201" s="5">
        <v>24</v>
      </c>
      <c r="G201" s="5">
        <v>13.898999999999999</v>
      </c>
      <c r="H201" s="5">
        <v>69.602999999999994</v>
      </c>
      <c r="I201" s="5">
        <v>27.231000000000002</v>
      </c>
      <c r="J201" s="5"/>
      <c r="K201" s="5">
        <f t="shared" si="10"/>
        <v>11.143616838950683</v>
      </c>
      <c r="L201" s="5">
        <f t="shared" si="11"/>
        <v>6.9701798880460526</v>
      </c>
      <c r="M201" s="5"/>
      <c r="N201" s="6"/>
    </row>
    <row r="202" spans="1:14" x14ac:dyDescent="0.3">
      <c r="A202" s="4">
        <v>5</v>
      </c>
      <c r="B202" s="5">
        <v>80</v>
      </c>
      <c r="C202" s="5">
        <v>20.239999999999998</v>
      </c>
      <c r="D202" s="5">
        <v>0</v>
      </c>
      <c r="E202" s="5">
        <v>-2.87</v>
      </c>
      <c r="F202" s="5">
        <v>24</v>
      </c>
      <c r="G202" s="5">
        <v>13.9</v>
      </c>
      <c r="H202" s="5">
        <v>69.311000000000007</v>
      </c>
      <c r="I202" s="5">
        <v>28.751000000000001</v>
      </c>
      <c r="J202" s="5"/>
      <c r="K202" s="5">
        <f t="shared" si="10"/>
        <v>11.120217301286532</v>
      </c>
      <c r="L202" s="5">
        <f t="shared" si="11"/>
        <v>7.1620717727834409</v>
      </c>
      <c r="M202" s="5"/>
      <c r="N202" s="6"/>
    </row>
    <row r="203" spans="1:14" x14ac:dyDescent="0.3">
      <c r="A203" s="4">
        <v>1</v>
      </c>
      <c r="B203" s="5">
        <v>80</v>
      </c>
      <c r="C203" s="5">
        <v>20.18</v>
      </c>
      <c r="D203" s="5">
        <v>0.94</v>
      </c>
      <c r="E203" s="5">
        <v>-2.87</v>
      </c>
      <c r="F203" s="5">
        <v>23.824999999999999</v>
      </c>
      <c r="G203" s="5">
        <v>13.898</v>
      </c>
      <c r="H203" s="5">
        <v>71.659000000000006</v>
      </c>
      <c r="I203" s="5">
        <v>29.45</v>
      </c>
      <c r="J203" s="5"/>
      <c r="K203" s="5">
        <f t="shared" si="10"/>
        <v>11.307004452452416</v>
      </c>
      <c r="L203" s="5">
        <f t="shared" si="11"/>
        <v>7.2486117899468123</v>
      </c>
      <c r="M203" s="5">
        <f>AVERAGE(K203:K207)</f>
        <v>11.297107093475326</v>
      </c>
      <c r="N203" s="6"/>
    </row>
    <row r="204" spans="1:14" x14ac:dyDescent="0.3">
      <c r="A204" s="4">
        <v>2</v>
      </c>
      <c r="B204" s="5">
        <v>80</v>
      </c>
      <c r="C204" s="5">
        <v>20.239999999999998</v>
      </c>
      <c r="D204" s="5">
        <v>0.94</v>
      </c>
      <c r="E204" s="5">
        <v>-2.87</v>
      </c>
      <c r="F204" s="5">
        <v>23.774999999999999</v>
      </c>
      <c r="G204" s="5">
        <v>13.897</v>
      </c>
      <c r="H204" s="5">
        <v>70.314999999999998</v>
      </c>
      <c r="I204" s="5">
        <v>26.056999999999999</v>
      </c>
      <c r="J204" s="5"/>
      <c r="K204" s="5">
        <f t="shared" si="10"/>
        <v>11.200468322055245</v>
      </c>
      <c r="L204" s="5">
        <f t="shared" si="11"/>
        <v>6.818273186206933</v>
      </c>
      <c r="M204" s="5">
        <f>STDEV(K203:K207)</f>
        <v>8.7021586817407889E-2</v>
      </c>
      <c r="N204" s="6"/>
    </row>
    <row r="205" spans="1:14" x14ac:dyDescent="0.3">
      <c r="A205" s="4">
        <v>3</v>
      </c>
      <c r="B205" s="5">
        <v>80</v>
      </c>
      <c r="C205" s="5">
        <v>20.18</v>
      </c>
      <c r="D205" s="5">
        <v>0.94</v>
      </c>
      <c r="E205" s="5">
        <v>-2.87</v>
      </c>
      <c r="F205" s="5">
        <v>23.774999999999999</v>
      </c>
      <c r="G205" s="5">
        <v>13.901999999999999</v>
      </c>
      <c r="H205" s="5">
        <v>70.503</v>
      </c>
      <c r="I205" s="5">
        <v>28.234000000000002</v>
      </c>
      <c r="J205" s="5"/>
      <c r="K205" s="5">
        <f t="shared" si="10"/>
        <v>11.21543157625109</v>
      </c>
      <c r="L205" s="5">
        <f t="shared" si="11"/>
        <v>7.0973855296110422</v>
      </c>
      <c r="M205" s="5"/>
      <c r="N205" s="6"/>
    </row>
    <row r="206" spans="1:14" x14ac:dyDescent="0.3">
      <c r="A206" s="4">
        <v>4</v>
      </c>
      <c r="B206" s="5">
        <v>80</v>
      </c>
      <c r="C206" s="5">
        <v>20.11</v>
      </c>
      <c r="D206" s="5">
        <v>0.94</v>
      </c>
      <c r="E206" s="5">
        <v>-2.87</v>
      </c>
      <c r="F206" s="5">
        <v>23.8</v>
      </c>
      <c r="G206" s="5">
        <v>13.898999999999999</v>
      </c>
      <c r="H206" s="5">
        <v>72.613</v>
      </c>
      <c r="I206" s="5">
        <v>28.344000000000001</v>
      </c>
      <c r="J206" s="5"/>
      <c r="K206" s="5">
        <f t="shared" si="10"/>
        <v>11.382020972889528</v>
      </c>
      <c r="L206" s="5">
        <f t="shared" si="11"/>
        <v>7.1111978387019779</v>
      </c>
      <c r="M206" s="5"/>
      <c r="N206" s="6"/>
    </row>
    <row r="207" spans="1:14" x14ac:dyDescent="0.3">
      <c r="A207" s="4">
        <v>5</v>
      </c>
      <c r="B207" s="5">
        <v>80</v>
      </c>
      <c r="C207" s="5">
        <v>20.239999999999998</v>
      </c>
      <c r="D207" s="5">
        <v>0.94</v>
      </c>
      <c r="E207" s="5">
        <v>-2.87</v>
      </c>
      <c r="F207" s="5">
        <v>23.85</v>
      </c>
      <c r="G207" s="5">
        <v>13.898999999999999</v>
      </c>
      <c r="H207" s="5">
        <v>72.594999999999999</v>
      </c>
      <c r="I207" s="5">
        <v>28.184999999999999</v>
      </c>
      <c r="J207" s="5"/>
      <c r="K207" s="5">
        <f t="shared" si="10"/>
        <v>11.380610143728347</v>
      </c>
      <c r="L207" s="5">
        <f t="shared" si="11"/>
        <v>7.0912241123264437</v>
      </c>
      <c r="M207" s="5"/>
      <c r="N207" s="6"/>
    </row>
    <row r="208" spans="1:14" x14ac:dyDescent="0.3">
      <c r="A208" s="4">
        <v>1</v>
      </c>
      <c r="B208" s="5">
        <v>80</v>
      </c>
      <c r="C208" s="5">
        <v>20.18</v>
      </c>
      <c r="D208" s="5">
        <v>1.65</v>
      </c>
      <c r="E208" s="5">
        <v>-2.87</v>
      </c>
      <c r="F208" s="5">
        <v>24</v>
      </c>
      <c r="G208" s="5">
        <v>13.897</v>
      </c>
      <c r="H208" s="5">
        <v>64.617000000000004</v>
      </c>
      <c r="I208" s="5">
        <v>29.76</v>
      </c>
      <c r="J208" s="5"/>
      <c r="K208" s="5">
        <f t="shared" si="10"/>
        <v>10.737065118112112</v>
      </c>
      <c r="L208" s="5">
        <f t="shared" si="11"/>
        <v>7.2866625069803641</v>
      </c>
      <c r="M208" s="5">
        <f>AVERAGE(K208:K212)</f>
        <v>10.695507415747381</v>
      </c>
      <c r="N208" s="6"/>
    </row>
    <row r="209" spans="1:14" x14ac:dyDescent="0.3">
      <c r="A209" s="4">
        <v>2</v>
      </c>
      <c r="B209" s="5">
        <v>80</v>
      </c>
      <c r="C209" s="5">
        <v>20.11</v>
      </c>
      <c r="D209" s="5">
        <v>1.65</v>
      </c>
      <c r="E209" s="5">
        <v>-2.87</v>
      </c>
      <c r="F209" s="5">
        <v>23.875</v>
      </c>
      <c r="G209" s="5">
        <v>13.894</v>
      </c>
      <c r="H209" s="5">
        <v>64.245999999999995</v>
      </c>
      <c r="I209" s="5">
        <v>27.614000000000001</v>
      </c>
      <c r="J209" s="5"/>
      <c r="K209" s="5">
        <f t="shared" si="10"/>
        <v>10.706197193250606</v>
      </c>
      <c r="L209" s="5">
        <f t="shared" si="11"/>
        <v>7.0190260105927331</v>
      </c>
      <c r="M209" s="5">
        <f>STDEV(K208:K212)</f>
        <v>7.9456331565075408E-2</v>
      </c>
      <c r="N209" s="6"/>
    </row>
    <row r="210" spans="1:14" x14ac:dyDescent="0.3">
      <c r="A210" s="4">
        <v>3</v>
      </c>
      <c r="B210" s="5">
        <v>80</v>
      </c>
      <c r="C210" s="5">
        <v>20.11</v>
      </c>
      <c r="D210" s="5">
        <v>1.65</v>
      </c>
      <c r="E210" s="5">
        <v>-2.87</v>
      </c>
      <c r="F210" s="5">
        <v>23.75</v>
      </c>
      <c r="G210" s="5">
        <v>13.904999999999999</v>
      </c>
      <c r="H210" s="5">
        <v>62.798000000000002</v>
      </c>
      <c r="I210" s="5">
        <v>27.62</v>
      </c>
      <c r="J210" s="5"/>
      <c r="K210" s="5">
        <f t="shared" si="10"/>
        <v>10.584859501620487</v>
      </c>
      <c r="L210" s="5">
        <f t="shared" si="11"/>
        <v>7.0197885199839778</v>
      </c>
      <c r="M210" s="5"/>
      <c r="N210" s="6"/>
    </row>
    <row r="211" spans="1:14" x14ac:dyDescent="0.3">
      <c r="A211" s="4">
        <v>4</v>
      </c>
      <c r="B211" s="5">
        <v>80</v>
      </c>
      <c r="C211" s="5">
        <v>20.18</v>
      </c>
      <c r="D211" s="5">
        <v>1.65</v>
      </c>
      <c r="E211" s="5">
        <v>-2.87</v>
      </c>
      <c r="F211" s="5">
        <v>23.9</v>
      </c>
      <c r="G211" s="5">
        <v>13.898</v>
      </c>
      <c r="H211" s="5">
        <v>63.643999999999998</v>
      </c>
      <c r="I211" s="5">
        <v>27.553000000000001</v>
      </c>
      <c r="J211" s="5"/>
      <c r="K211" s="5">
        <f t="shared" si="10"/>
        <v>10.655919355268075</v>
      </c>
      <c r="L211" s="5">
        <f t="shared" si="11"/>
        <v>7.0112691245481447</v>
      </c>
      <c r="M211" s="5"/>
      <c r="N211" s="6"/>
    </row>
    <row r="212" spans="1:14" x14ac:dyDescent="0.3">
      <c r="A212" s="4">
        <v>5</v>
      </c>
      <c r="B212" s="5">
        <v>80</v>
      </c>
      <c r="C212" s="5">
        <v>20.18</v>
      </c>
      <c r="D212" s="5">
        <v>1.65</v>
      </c>
      <c r="E212" s="5">
        <v>-2.87</v>
      </c>
      <c r="F212" s="5">
        <v>23.8</v>
      </c>
      <c r="G212" s="5">
        <v>13.897</v>
      </c>
      <c r="H212" s="5">
        <v>65.298000000000002</v>
      </c>
      <c r="I212" s="5">
        <v>27.917999999999999</v>
      </c>
      <c r="J212" s="5"/>
      <c r="K212" s="5">
        <f t="shared" si="10"/>
        <v>10.793495910485627</v>
      </c>
      <c r="L212" s="5">
        <f t="shared" si="11"/>
        <v>7.0575561647593901</v>
      </c>
      <c r="M212" s="5"/>
      <c r="N212" s="6"/>
    </row>
    <row r="213" spans="1:14" x14ac:dyDescent="0.3">
      <c r="A213" s="4">
        <v>1</v>
      </c>
      <c r="B213" s="5">
        <v>80</v>
      </c>
      <c r="C213" s="5">
        <v>20.309999999999999</v>
      </c>
      <c r="D213" s="5">
        <v>2.13</v>
      </c>
      <c r="E213" s="5">
        <v>-2.87</v>
      </c>
      <c r="F213" s="5">
        <v>23.95</v>
      </c>
      <c r="G213" s="5">
        <v>13.894</v>
      </c>
      <c r="H213" s="5">
        <v>55.24</v>
      </c>
      <c r="I213" s="5">
        <v>28.617000000000001</v>
      </c>
      <c r="J213" s="5"/>
      <c r="K213" s="5">
        <f t="shared" si="10"/>
        <v>9.927480129952297</v>
      </c>
      <c r="L213" s="5">
        <f t="shared" si="11"/>
        <v>7.1453621196960944</v>
      </c>
      <c r="M213" s="5">
        <f>AVERAGE(K213:K217)</f>
        <v>9.9958896009965326</v>
      </c>
      <c r="N213" s="6"/>
    </row>
    <row r="214" spans="1:14" x14ac:dyDescent="0.3">
      <c r="A214" s="4">
        <v>2</v>
      </c>
      <c r="B214" s="5">
        <v>80</v>
      </c>
      <c r="C214" s="5">
        <v>20.11</v>
      </c>
      <c r="D214" s="5">
        <v>2.13</v>
      </c>
      <c r="E214" s="5">
        <v>-2.87</v>
      </c>
      <c r="F214" s="5">
        <v>23.975000000000001</v>
      </c>
      <c r="G214" s="5">
        <v>13.9</v>
      </c>
      <c r="H214" s="5">
        <v>56.540999999999997</v>
      </c>
      <c r="I214" s="5">
        <v>26.282</v>
      </c>
      <c r="J214" s="5"/>
      <c r="K214" s="5">
        <f t="shared" si="10"/>
        <v>10.043704673487898</v>
      </c>
      <c r="L214" s="5">
        <f t="shared" si="11"/>
        <v>6.847647518586558</v>
      </c>
      <c r="M214" s="5">
        <f>STDEV(K213:K217)</f>
        <v>4.4000014404643267E-2</v>
      </c>
      <c r="N214" s="6"/>
    </row>
    <row r="215" spans="1:14" x14ac:dyDescent="0.3">
      <c r="A215" s="4">
        <v>3</v>
      </c>
      <c r="B215" s="5">
        <v>80</v>
      </c>
      <c r="C215" s="5">
        <v>20.309999999999999</v>
      </c>
      <c r="D215" s="5">
        <v>2.13</v>
      </c>
      <c r="E215" s="5">
        <v>-2.87</v>
      </c>
      <c r="F215" s="5">
        <v>23.975000000000001</v>
      </c>
      <c r="G215" s="5">
        <v>13.895</v>
      </c>
      <c r="H215" s="5">
        <v>56.158000000000001</v>
      </c>
      <c r="I215" s="5">
        <v>27.954000000000001</v>
      </c>
      <c r="J215" s="5"/>
      <c r="K215" s="5">
        <f t="shared" si="10"/>
        <v>10.00962961865158</v>
      </c>
      <c r="L215" s="5">
        <f t="shared" si="11"/>
        <v>7.0621050251509478</v>
      </c>
      <c r="M215" s="5"/>
      <c r="N215" s="6"/>
    </row>
    <row r="216" spans="1:14" x14ac:dyDescent="0.3">
      <c r="A216" s="4">
        <v>4</v>
      </c>
      <c r="B216" s="5">
        <v>80</v>
      </c>
      <c r="C216" s="5">
        <v>20.239999999999998</v>
      </c>
      <c r="D216" s="5">
        <v>2.13</v>
      </c>
      <c r="E216" s="5">
        <v>-2.87</v>
      </c>
      <c r="F216" s="5">
        <v>23.975000000000001</v>
      </c>
      <c r="G216" s="5">
        <v>13.901999999999999</v>
      </c>
      <c r="H216" s="5">
        <v>55.853999999999999</v>
      </c>
      <c r="I216" s="5">
        <v>27.486000000000001</v>
      </c>
      <c r="J216" s="5"/>
      <c r="K216" s="5">
        <f t="shared" si="10"/>
        <v>9.982500299084947</v>
      </c>
      <c r="L216" s="5">
        <f t="shared" si="11"/>
        <v>7.0027393645905009</v>
      </c>
      <c r="M216" s="5"/>
      <c r="N216" s="6"/>
    </row>
    <row r="217" spans="1:14" x14ac:dyDescent="0.3">
      <c r="A217" s="4">
        <v>5</v>
      </c>
      <c r="B217" s="5">
        <v>80</v>
      </c>
      <c r="C217" s="5">
        <v>20.239999999999998</v>
      </c>
      <c r="D217" s="5">
        <v>2.13</v>
      </c>
      <c r="E217" s="5">
        <v>-2.87</v>
      </c>
      <c r="F217" s="5">
        <v>24</v>
      </c>
      <c r="G217" s="5">
        <v>13.904</v>
      </c>
      <c r="H217" s="5">
        <v>56.231000000000002</v>
      </c>
      <c r="I217" s="5">
        <v>28.927</v>
      </c>
      <c r="J217" s="5"/>
      <c r="K217" s="5">
        <f t="shared" si="10"/>
        <v>10.016133283805942</v>
      </c>
      <c r="L217" s="5">
        <f t="shared" si="11"/>
        <v>7.1839597319907984</v>
      </c>
      <c r="M217" s="5"/>
      <c r="N217" s="6"/>
    </row>
    <row r="218" spans="1:14" x14ac:dyDescent="0.3">
      <c r="A218" s="4">
        <v>1</v>
      </c>
      <c r="B218" s="5">
        <v>80</v>
      </c>
      <c r="C218" s="5">
        <v>20.239999999999998</v>
      </c>
      <c r="D218" s="5">
        <v>2.52</v>
      </c>
      <c r="E218" s="5">
        <v>-2.87</v>
      </c>
      <c r="F218" s="5">
        <v>23.9</v>
      </c>
      <c r="G218" s="5">
        <v>13.897</v>
      </c>
      <c r="H218" s="5">
        <v>45.917999999999999</v>
      </c>
      <c r="I218" s="5">
        <v>29.832999999999998</v>
      </c>
      <c r="J218" s="5"/>
      <c r="K218" s="5">
        <f t="shared" ref="K218:K262" si="12">SQRT(2*(H218)/$N$1)</f>
        <v>9.0511481472368605</v>
      </c>
      <c r="L218" s="5">
        <f t="shared" ref="L218:L262" si="13">SQRT(2*(I218)/$N$1)</f>
        <v>7.2955939680749502</v>
      </c>
      <c r="M218" s="5">
        <f>AVERAGE(K218:K222)</f>
        <v>9.0748964961719487</v>
      </c>
      <c r="N218" s="6"/>
    </row>
    <row r="219" spans="1:14" x14ac:dyDescent="0.3">
      <c r="A219" s="4">
        <v>2</v>
      </c>
      <c r="B219" s="5">
        <v>80</v>
      </c>
      <c r="C219" s="5">
        <v>20.18</v>
      </c>
      <c r="D219" s="5">
        <v>2.52</v>
      </c>
      <c r="E219" s="5">
        <v>-2.87</v>
      </c>
      <c r="F219" s="5">
        <v>23.9</v>
      </c>
      <c r="G219" s="5">
        <v>13.9</v>
      </c>
      <c r="H219" s="5">
        <v>45.34</v>
      </c>
      <c r="I219" s="5">
        <v>27.547000000000001</v>
      </c>
      <c r="J219" s="5"/>
      <c r="K219" s="5">
        <f t="shared" si="12"/>
        <v>8.9940013709207811</v>
      </c>
      <c r="L219" s="5">
        <f t="shared" si="13"/>
        <v>7.0105056885306505</v>
      </c>
      <c r="M219" s="5">
        <f>STDEV(K218:K222)</f>
        <v>5.8320489024058744E-2</v>
      </c>
      <c r="N219" s="6"/>
    </row>
    <row r="220" spans="1:14" x14ac:dyDescent="0.3">
      <c r="A220" s="4">
        <v>3</v>
      </c>
      <c r="B220" s="5">
        <v>80</v>
      </c>
      <c r="C220" s="5">
        <v>20.440000000000001</v>
      </c>
      <c r="D220" s="5">
        <v>2.52</v>
      </c>
      <c r="E220" s="5">
        <v>-2.87</v>
      </c>
      <c r="F220" s="5">
        <v>23.9</v>
      </c>
      <c r="G220" s="5">
        <v>13.897</v>
      </c>
      <c r="H220" s="5">
        <v>46.185000000000002</v>
      </c>
      <c r="I220" s="5">
        <v>29.632999999999999</v>
      </c>
      <c r="J220" s="5"/>
      <c r="K220" s="5">
        <f t="shared" si="12"/>
        <v>9.0774249198622385</v>
      </c>
      <c r="L220" s="5">
        <f t="shared" si="13"/>
        <v>7.2710980658330859</v>
      </c>
      <c r="M220" s="5"/>
      <c r="N220" s="6"/>
    </row>
    <row r="221" spans="1:14" x14ac:dyDescent="0.3">
      <c r="A221" s="4">
        <v>4</v>
      </c>
      <c r="B221" s="5">
        <v>80</v>
      </c>
      <c r="C221" s="5">
        <v>19.98</v>
      </c>
      <c r="D221" s="5">
        <v>2.52</v>
      </c>
      <c r="E221" s="5">
        <v>-2.87</v>
      </c>
      <c r="F221" s="5">
        <v>23.875</v>
      </c>
      <c r="G221" s="5">
        <v>13.9</v>
      </c>
      <c r="H221" s="5">
        <v>46.421999999999997</v>
      </c>
      <c r="I221" s="5">
        <v>28.257999999999999</v>
      </c>
      <c r="J221" s="5"/>
      <c r="K221" s="5">
        <f t="shared" si="12"/>
        <v>9.1006856845314221</v>
      </c>
      <c r="L221" s="5">
        <f t="shared" si="13"/>
        <v>7.1004014159495377</v>
      </c>
      <c r="M221" s="5"/>
      <c r="N221" s="6"/>
    </row>
    <row r="222" spans="1:14" x14ac:dyDescent="0.3">
      <c r="A222" s="4">
        <v>5</v>
      </c>
      <c r="B222" s="5">
        <v>80</v>
      </c>
      <c r="C222" s="5">
        <v>20.18</v>
      </c>
      <c r="D222" s="5">
        <v>2.52</v>
      </c>
      <c r="E222" s="5">
        <v>-2.87</v>
      </c>
      <c r="F222" s="5">
        <v>24</v>
      </c>
      <c r="G222" s="5">
        <v>13.898999999999999</v>
      </c>
      <c r="H222" s="5">
        <v>46.939</v>
      </c>
      <c r="I222" s="5">
        <v>27.838999999999999</v>
      </c>
      <c r="J222" s="5"/>
      <c r="K222" s="5">
        <f t="shared" si="12"/>
        <v>9.1512223583084396</v>
      </c>
      <c r="L222" s="5">
        <f t="shared" si="13"/>
        <v>7.0475636523860885</v>
      </c>
      <c r="M222" s="5"/>
      <c r="N222" s="6"/>
    </row>
    <row r="223" spans="1:14" x14ac:dyDescent="0.3">
      <c r="A223" s="4">
        <v>1</v>
      </c>
      <c r="B223" s="5">
        <v>80</v>
      </c>
      <c r="C223" s="5">
        <v>20.440000000000001</v>
      </c>
      <c r="D223" s="5">
        <v>2.87</v>
      </c>
      <c r="E223" s="5">
        <v>-2.87</v>
      </c>
      <c r="F223" s="5">
        <v>23.975000000000001</v>
      </c>
      <c r="G223" s="5">
        <v>13.897</v>
      </c>
      <c r="H223" s="5">
        <v>31.870999999999999</v>
      </c>
      <c r="I223" s="5">
        <v>28.666</v>
      </c>
      <c r="J223" s="5"/>
      <c r="K223" s="5">
        <f t="shared" si="12"/>
        <v>7.5406717603725895</v>
      </c>
      <c r="L223" s="5">
        <f t="shared" si="13"/>
        <v>7.1514768940604228</v>
      </c>
      <c r="M223" s="5">
        <f>AVERAGE(K223:K227)</f>
        <v>7.4586153474789771</v>
      </c>
      <c r="N223" s="6"/>
    </row>
    <row r="224" spans="1:14" x14ac:dyDescent="0.3">
      <c r="A224" s="4">
        <v>2</v>
      </c>
      <c r="B224" s="5">
        <v>80</v>
      </c>
      <c r="C224" s="5">
        <v>20.239999999999998</v>
      </c>
      <c r="D224" s="5">
        <v>2.87</v>
      </c>
      <c r="E224" s="5">
        <v>-2.87</v>
      </c>
      <c r="F224" s="5">
        <v>23.975000000000001</v>
      </c>
      <c r="G224" s="5">
        <v>13.901999999999999</v>
      </c>
      <c r="H224" s="5">
        <v>30.898</v>
      </c>
      <c r="I224" s="5">
        <v>28.015000000000001</v>
      </c>
      <c r="J224" s="5"/>
      <c r="K224" s="5">
        <f t="shared" si="12"/>
        <v>7.424673767451174</v>
      </c>
      <c r="L224" s="5">
        <f t="shared" si="13"/>
        <v>7.0698061350221977</v>
      </c>
      <c r="M224" s="5">
        <f>STDEV(K223:K227)</f>
        <v>0.11621928220456827</v>
      </c>
      <c r="N224" s="6"/>
    </row>
    <row r="225" spans="1:14" x14ac:dyDescent="0.3">
      <c r="A225" s="4">
        <v>3</v>
      </c>
      <c r="B225" s="5">
        <v>80</v>
      </c>
      <c r="C225" s="5">
        <v>20.05</v>
      </c>
      <c r="D225" s="5">
        <v>2.87</v>
      </c>
      <c r="E225" s="5">
        <v>-2.87</v>
      </c>
      <c r="F225" s="5">
        <v>23.975000000000001</v>
      </c>
      <c r="G225" s="5">
        <v>13.9</v>
      </c>
      <c r="H225" s="5">
        <v>30.308</v>
      </c>
      <c r="I225" s="5">
        <v>27.777999999999999</v>
      </c>
      <c r="J225" s="5"/>
      <c r="K225" s="5">
        <f t="shared" si="12"/>
        <v>7.3534447012356221</v>
      </c>
      <c r="L225" s="5">
        <f t="shared" si="13"/>
        <v>7.0398382107757493</v>
      </c>
      <c r="M225" s="5"/>
      <c r="N225" s="6"/>
    </row>
    <row r="226" spans="1:14" x14ac:dyDescent="0.3">
      <c r="A226" s="4">
        <v>4</v>
      </c>
      <c r="B226" s="5">
        <v>80</v>
      </c>
      <c r="C226" s="5">
        <v>20.11</v>
      </c>
      <c r="D226" s="5">
        <v>2.87</v>
      </c>
      <c r="E226" s="5">
        <v>-2.87</v>
      </c>
      <c r="F226" s="5">
        <v>24</v>
      </c>
      <c r="G226" s="5">
        <v>13.897</v>
      </c>
      <c r="H226" s="5">
        <v>30.344000000000001</v>
      </c>
      <c r="I226" s="5">
        <v>27.018000000000001</v>
      </c>
      <c r="J226" s="5"/>
      <c r="K226" s="5">
        <f t="shared" si="12"/>
        <v>7.3578106350774775</v>
      </c>
      <c r="L226" s="5">
        <f t="shared" si="13"/>
        <v>6.9428661106569294</v>
      </c>
      <c r="M226" s="5"/>
      <c r="N226" s="6"/>
    </row>
    <row r="227" spans="1:14" ht="15" thickBot="1" x14ac:dyDescent="0.35">
      <c r="A227" s="7">
        <v>5</v>
      </c>
      <c r="B227" s="8">
        <v>80</v>
      </c>
      <c r="C227" s="8">
        <v>20.18</v>
      </c>
      <c r="D227" s="8">
        <v>2.87</v>
      </c>
      <c r="E227" s="8">
        <v>-2.87</v>
      </c>
      <c r="F227" s="8">
        <v>23.95</v>
      </c>
      <c r="G227" s="8">
        <v>13.897</v>
      </c>
      <c r="H227" s="8">
        <v>32.515000000000001</v>
      </c>
      <c r="I227" s="8">
        <v>28.946000000000002</v>
      </c>
      <c r="J227" s="8"/>
      <c r="K227" s="8">
        <f t="shared" si="12"/>
        <v>7.6164758732580191</v>
      </c>
      <c r="L227" s="8">
        <f t="shared" si="13"/>
        <v>7.1863186497642895</v>
      </c>
      <c r="M227" s="8"/>
      <c r="N227" s="9"/>
    </row>
    <row r="228" spans="1:14" x14ac:dyDescent="0.3">
      <c r="A228" s="1">
        <v>1</v>
      </c>
      <c r="B228" s="2">
        <v>60</v>
      </c>
      <c r="C228" s="2">
        <v>15.43</v>
      </c>
      <c r="D228" s="2">
        <v>-2.87</v>
      </c>
      <c r="E228" s="2">
        <v>-2.87</v>
      </c>
      <c r="F228" s="2">
        <v>24.25</v>
      </c>
      <c r="G228" s="2">
        <v>13.9</v>
      </c>
      <c r="H228" s="2">
        <v>16.449000000000002</v>
      </c>
      <c r="I228" s="2">
        <v>16.472999999999999</v>
      </c>
      <c r="J228" s="2"/>
      <c r="K228" s="2">
        <f t="shared" si="12"/>
        <v>5.4172882142995293</v>
      </c>
      <c r="L228" s="2">
        <f t="shared" si="13"/>
        <v>5.4212388352178857</v>
      </c>
      <c r="M228" s="2"/>
      <c r="N228" s="3">
        <f>AVERAGE(L228:L232)</f>
        <v>5.458053940238254</v>
      </c>
    </row>
    <row r="229" spans="1:14" x14ac:dyDescent="0.3">
      <c r="A229" s="4">
        <v>2</v>
      </c>
      <c r="B229" s="5">
        <v>60</v>
      </c>
      <c r="C229" s="5">
        <v>15.43</v>
      </c>
      <c r="D229" s="5">
        <v>-2.87</v>
      </c>
      <c r="E229" s="5">
        <v>-2.87</v>
      </c>
      <c r="F229" s="5">
        <v>24.25</v>
      </c>
      <c r="G229" s="5">
        <v>13.898</v>
      </c>
      <c r="H229" s="5">
        <v>17.263999999999999</v>
      </c>
      <c r="I229" s="5">
        <v>16.893000000000001</v>
      </c>
      <c r="J229" s="5"/>
      <c r="K229" s="5">
        <f t="shared" si="12"/>
        <v>5.5498712122707987</v>
      </c>
      <c r="L229" s="5">
        <f t="shared" si="13"/>
        <v>5.4899145223745958</v>
      </c>
      <c r="M229" s="5"/>
      <c r="N229" s="6">
        <f>STDEV(L228:L232)</f>
        <v>4.4981100316416389E-2</v>
      </c>
    </row>
    <row r="230" spans="1:14" x14ac:dyDescent="0.3">
      <c r="A230" s="4">
        <v>3</v>
      </c>
      <c r="B230" s="5">
        <v>60</v>
      </c>
      <c r="C230" s="5">
        <v>15.51</v>
      </c>
      <c r="D230" s="5">
        <v>-2.87</v>
      </c>
      <c r="E230" s="5">
        <v>-2.87</v>
      </c>
      <c r="F230" s="5">
        <v>24.225000000000001</v>
      </c>
      <c r="G230" s="5">
        <v>13.898999999999999</v>
      </c>
      <c r="H230" s="5">
        <v>17.652999999999999</v>
      </c>
      <c r="I230" s="5">
        <v>16.466999999999999</v>
      </c>
      <c r="J230" s="5"/>
      <c r="K230" s="5">
        <f t="shared" si="12"/>
        <v>5.612048972199843</v>
      </c>
      <c r="L230" s="5">
        <f t="shared" si="13"/>
        <v>5.4202514499378234</v>
      </c>
      <c r="M230" s="5"/>
      <c r="N230" s="6"/>
    </row>
    <row r="231" spans="1:14" x14ac:dyDescent="0.3">
      <c r="A231" s="4">
        <v>4</v>
      </c>
      <c r="B231" s="5">
        <v>60</v>
      </c>
      <c r="C231" s="5">
        <v>15.51</v>
      </c>
      <c r="D231" s="5">
        <v>-2.87</v>
      </c>
      <c r="E231" s="5">
        <v>-2.87</v>
      </c>
      <c r="F231" s="5">
        <v>24.2</v>
      </c>
      <c r="G231" s="5">
        <v>13.895</v>
      </c>
      <c r="H231" s="5">
        <v>16.93</v>
      </c>
      <c r="I231" s="5">
        <v>17.082000000000001</v>
      </c>
      <c r="J231" s="5"/>
      <c r="K231" s="5">
        <f t="shared" si="12"/>
        <v>5.4959233939192353</v>
      </c>
      <c r="L231" s="5">
        <f t="shared" si="13"/>
        <v>5.5205398642258432</v>
      </c>
      <c r="M231" s="5"/>
      <c r="N231" s="6"/>
    </row>
    <row r="232" spans="1:14" x14ac:dyDescent="0.3">
      <c r="A232" s="4">
        <v>5</v>
      </c>
      <c r="B232" s="5">
        <v>60</v>
      </c>
      <c r="C232" s="5">
        <v>15.25</v>
      </c>
      <c r="D232" s="5">
        <v>-2.87</v>
      </c>
      <c r="E232" s="5">
        <v>-2.87</v>
      </c>
      <c r="F232" s="5">
        <v>24.175000000000001</v>
      </c>
      <c r="G232" s="5">
        <v>13.898999999999999</v>
      </c>
      <c r="H232" s="5">
        <v>17.111999999999998</v>
      </c>
      <c r="I232" s="5">
        <v>16.577000000000002</v>
      </c>
      <c r="J232" s="5"/>
      <c r="K232" s="5">
        <f t="shared" si="12"/>
        <v>5.5253854193272511</v>
      </c>
      <c r="L232" s="5">
        <f t="shared" si="13"/>
        <v>5.4383250294351253</v>
      </c>
      <c r="M232" s="5"/>
      <c r="N232" s="6"/>
    </row>
    <row r="233" spans="1:14" x14ac:dyDescent="0.3">
      <c r="A233" s="4">
        <v>1</v>
      </c>
      <c r="B233" s="5">
        <v>60</v>
      </c>
      <c r="C233" s="5">
        <v>15.51</v>
      </c>
      <c r="D233" s="5">
        <v>-2.87</v>
      </c>
      <c r="E233" s="5">
        <v>-2.52</v>
      </c>
      <c r="F233" s="5">
        <v>23.925000000000001</v>
      </c>
      <c r="G233" s="5">
        <v>13.897</v>
      </c>
      <c r="H233" s="5">
        <v>16.899000000000001</v>
      </c>
      <c r="I233" s="5">
        <v>25.777000000000001</v>
      </c>
      <c r="J233" s="5"/>
      <c r="K233" s="5">
        <f t="shared" si="12"/>
        <v>5.4908893806833321</v>
      </c>
      <c r="L233" s="5">
        <f t="shared" si="13"/>
        <v>6.781540774195677</v>
      </c>
      <c r="M233" s="5"/>
      <c r="N233" s="6">
        <f>AVERAGE(L233:L237)</f>
        <v>6.7818912966793992</v>
      </c>
    </row>
    <row r="234" spans="1:14" x14ac:dyDescent="0.3">
      <c r="A234" s="4">
        <v>2</v>
      </c>
      <c r="B234" s="5">
        <v>60</v>
      </c>
      <c r="C234" s="5">
        <v>15.43</v>
      </c>
      <c r="D234" s="5">
        <v>-2.87</v>
      </c>
      <c r="E234" s="5">
        <v>-2.52</v>
      </c>
      <c r="F234" s="5">
        <v>23.875</v>
      </c>
      <c r="G234" s="5">
        <v>13.896000000000001</v>
      </c>
      <c r="H234" s="5">
        <v>16.376000000000001</v>
      </c>
      <c r="I234" s="5">
        <v>25.23</v>
      </c>
      <c r="J234" s="5"/>
      <c r="K234" s="5">
        <f t="shared" si="12"/>
        <v>5.405253994070061</v>
      </c>
      <c r="L234" s="5">
        <f t="shared" si="13"/>
        <v>6.7092012125067377</v>
      </c>
      <c r="M234" s="5"/>
      <c r="N234" s="6">
        <f>STDEV(L233:L237)</f>
        <v>0.14734660020608717</v>
      </c>
    </row>
    <row r="235" spans="1:14" x14ac:dyDescent="0.3">
      <c r="A235" s="4">
        <v>3</v>
      </c>
      <c r="B235" s="5">
        <v>60</v>
      </c>
      <c r="C235" s="5">
        <v>15.51</v>
      </c>
      <c r="D235" s="5">
        <v>-2.87</v>
      </c>
      <c r="E235" s="5">
        <v>-2.52</v>
      </c>
      <c r="F235" s="5">
        <v>23.85</v>
      </c>
      <c r="G235" s="5">
        <v>13.901999999999999</v>
      </c>
      <c r="H235" s="5">
        <v>16.016999999999999</v>
      </c>
      <c r="I235" s="5">
        <v>24.446000000000002</v>
      </c>
      <c r="J235" s="5"/>
      <c r="K235" s="5">
        <f t="shared" si="12"/>
        <v>5.3456778042116113</v>
      </c>
      <c r="L235" s="5">
        <f t="shared" si="13"/>
        <v>6.6041373240436219</v>
      </c>
      <c r="M235" s="5"/>
      <c r="N235" s="6"/>
    </row>
    <row r="236" spans="1:14" x14ac:dyDescent="0.3">
      <c r="A236" s="4">
        <v>4</v>
      </c>
      <c r="B236" s="5">
        <v>60</v>
      </c>
      <c r="C236" s="5">
        <v>15.34</v>
      </c>
      <c r="D236" s="5">
        <v>-2.87</v>
      </c>
      <c r="E236" s="5">
        <v>-2.52</v>
      </c>
      <c r="F236" s="5">
        <v>23.925000000000001</v>
      </c>
      <c r="G236" s="5">
        <v>13.897</v>
      </c>
      <c r="H236" s="5">
        <v>16.995999999999999</v>
      </c>
      <c r="I236" s="5">
        <v>26.001999999999999</v>
      </c>
      <c r="J236" s="5"/>
      <c r="K236" s="5">
        <f t="shared" si="12"/>
        <v>5.5066256418032635</v>
      </c>
      <c r="L236" s="5">
        <f t="shared" si="13"/>
        <v>6.8110735254535832</v>
      </c>
      <c r="M236" s="5"/>
      <c r="N236" s="6"/>
    </row>
    <row r="237" spans="1:14" x14ac:dyDescent="0.3">
      <c r="A237" s="4">
        <v>5</v>
      </c>
      <c r="B237" s="5">
        <v>60</v>
      </c>
      <c r="C237" s="5">
        <v>15.51</v>
      </c>
      <c r="D237" s="5">
        <v>-2.87</v>
      </c>
      <c r="E237" s="5">
        <v>-2.52</v>
      </c>
      <c r="F237" s="5">
        <v>23.9</v>
      </c>
      <c r="G237" s="5">
        <v>13.898999999999999</v>
      </c>
      <c r="H237" s="5">
        <v>20.170999999999999</v>
      </c>
      <c r="I237" s="5">
        <v>27.492000000000001</v>
      </c>
      <c r="J237" s="5"/>
      <c r="K237" s="5">
        <f t="shared" si="12"/>
        <v>5.9989591722863267</v>
      </c>
      <c r="L237" s="5">
        <f t="shared" si="13"/>
        <v>7.0035036471973706</v>
      </c>
      <c r="M237" s="5"/>
      <c r="N237" s="6"/>
    </row>
    <row r="238" spans="1:14" x14ac:dyDescent="0.3">
      <c r="A238" s="4">
        <v>1</v>
      </c>
      <c r="B238" s="5">
        <v>60</v>
      </c>
      <c r="C238" s="5">
        <v>15.51</v>
      </c>
      <c r="D238" s="5">
        <v>-2.87</v>
      </c>
      <c r="E238" s="5">
        <v>-2.13</v>
      </c>
      <c r="F238" s="5">
        <v>23.675000000000001</v>
      </c>
      <c r="G238" s="5">
        <v>13.897</v>
      </c>
      <c r="H238" s="5">
        <v>17.489000000000001</v>
      </c>
      <c r="I238" s="5">
        <v>33.323999999999998</v>
      </c>
      <c r="J238" s="5"/>
      <c r="K238" s="5">
        <f t="shared" si="12"/>
        <v>5.5859195993004009</v>
      </c>
      <c r="L238" s="5">
        <f t="shared" si="13"/>
        <v>7.7106458144570205</v>
      </c>
      <c r="M238" s="5"/>
      <c r="N238" s="6">
        <f>AVERAGE(L238:L242)</f>
        <v>7.6824481298792566</v>
      </c>
    </row>
    <row r="239" spans="1:14" x14ac:dyDescent="0.3">
      <c r="A239" s="4">
        <v>2</v>
      </c>
      <c r="B239" s="5">
        <v>60</v>
      </c>
      <c r="C239" s="5">
        <v>15.51</v>
      </c>
      <c r="D239" s="5">
        <v>-2.87</v>
      </c>
      <c r="E239" s="5">
        <v>-2.13</v>
      </c>
      <c r="F239" s="5">
        <v>23.7</v>
      </c>
      <c r="G239" s="5">
        <v>13.897</v>
      </c>
      <c r="H239" s="5">
        <v>16.978000000000002</v>
      </c>
      <c r="I239" s="5">
        <v>33.414999999999999</v>
      </c>
      <c r="J239" s="5"/>
      <c r="K239" s="5">
        <f t="shared" si="12"/>
        <v>5.5037089108346491</v>
      </c>
      <c r="L239" s="5">
        <f t="shared" si="13"/>
        <v>7.7211666162663724</v>
      </c>
      <c r="M239" s="5"/>
      <c r="N239" s="6">
        <f>STDEV(L238:L242)</f>
        <v>7.1382504317368936E-2</v>
      </c>
    </row>
    <row r="240" spans="1:14" x14ac:dyDescent="0.3">
      <c r="A240" s="4">
        <v>3</v>
      </c>
      <c r="B240" s="5">
        <v>60</v>
      </c>
      <c r="C240" s="5">
        <v>15.43</v>
      </c>
      <c r="D240" s="5">
        <v>-2.87</v>
      </c>
      <c r="E240" s="5">
        <v>-2.13</v>
      </c>
      <c r="F240" s="5">
        <v>23.65</v>
      </c>
      <c r="G240" s="5">
        <v>13.9</v>
      </c>
      <c r="H240" s="5">
        <v>17.100000000000001</v>
      </c>
      <c r="I240" s="5">
        <v>33.33</v>
      </c>
      <c r="J240" s="5"/>
      <c r="K240" s="5">
        <f t="shared" si="12"/>
        <v>5.5234477073899404</v>
      </c>
      <c r="L240" s="5">
        <f t="shared" si="13"/>
        <v>7.7113399357002193</v>
      </c>
      <c r="M240" s="5"/>
      <c r="N240" s="6"/>
    </row>
    <row r="241" spans="1:14" x14ac:dyDescent="0.3">
      <c r="A241" s="4">
        <v>4</v>
      </c>
      <c r="B241" s="5">
        <v>60</v>
      </c>
      <c r="C241" s="5">
        <v>15.43</v>
      </c>
      <c r="D241" s="5">
        <v>-2.87</v>
      </c>
      <c r="E241" s="5">
        <v>-2.13</v>
      </c>
      <c r="F241" s="5">
        <v>23.75</v>
      </c>
      <c r="G241" s="5">
        <v>13.9</v>
      </c>
      <c r="H241" s="5">
        <v>16.734999999999999</v>
      </c>
      <c r="I241" s="5">
        <v>33.353999999999999</v>
      </c>
      <c r="J241" s="5"/>
      <c r="K241" s="5">
        <f t="shared" si="12"/>
        <v>5.4641806608475179</v>
      </c>
      <c r="L241" s="5">
        <f t="shared" si="13"/>
        <v>7.7141157960981541</v>
      </c>
      <c r="M241" s="5"/>
      <c r="N241" s="6"/>
    </row>
    <row r="242" spans="1:14" x14ac:dyDescent="0.3">
      <c r="A242" s="4">
        <v>5</v>
      </c>
      <c r="B242" s="5">
        <v>60</v>
      </c>
      <c r="C242" s="5">
        <v>15.51</v>
      </c>
      <c r="D242" s="5">
        <v>-2.87</v>
      </c>
      <c r="E242" s="5">
        <v>-2.13</v>
      </c>
      <c r="F242" s="5">
        <v>23.75</v>
      </c>
      <c r="G242" s="5">
        <v>13.9</v>
      </c>
      <c r="H242" s="5">
        <v>16.399999999999999</v>
      </c>
      <c r="I242" s="5">
        <v>31.992000000000001</v>
      </c>
      <c r="J242" s="5"/>
      <c r="K242" s="5">
        <f t="shared" si="12"/>
        <v>5.409213404192549</v>
      </c>
      <c r="L242" s="5">
        <f t="shared" si="13"/>
        <v>7.5549724868745134</v>
      </c>
      <c r="M242" s="5"/>
      <c r="N242" s="6"/>
    </row>
    <row r="243" spans="1:14" x14ac:dyDescent="0.3">
      <c r="A243" s="4">
        <v>1</v>
      </c>
      <c r="B243" s="5">
        <v>60</v>
      </c>
      <c r="C243" s="5">
        <v>15.6</v>
      </c>
      <c r="D243" s="5">
        <v>-2.87</v>
      </c>
      <c r="E243" s="5">
        <v>-1.65</v>
      </c>
      <c r="F243" s="5">
        <v>23.75</v>
      </c>
      <c r="G243" s="5">
        <v>13.898999999999999</v>
      </c>
      <c r="H243" s="5">
        <v>17.640999999999998</v>
      </c>
      <c r="I243" s="5">
        <v>38.231000000000002</v>
      </c>
      <c r="J243" s="5"/>
      <c r="K243" s="5">
        <f t="shared" si="12"/>
        <v>5.6101411934572836</v>
      </c>
      <c r="L243" s="5">
        <f t="shared" si="13"/>
        <v>8.2588584074597886</v>
      </c>
      <c r="M243" s="5"/>
      <c r="N243" s="6">
        <f>AVERAGE(L243:L247)</f>
        <v>8.3095379050075202</v>
      </c>
    </row>
    <row r="244" spans="1:14" x14ac:dyDescent="0.3">
      <c r="A244" s="4">
        <v>2</v>
      </c>
      <c r="B244" s="5">
        <v>60</v>
      </c>
      <c r="C244" s="5">
        <v>15.34</v>
      </c>
      <c r="D244" s="5">
        <v>-2.87</v>
      </c>
      <c r="E244" s="5">
        <v>-1.65</v>
      </c>
      <c r="F244" s="5">
        <v>23.75</v>
      </c>
      <c r="G244" s="5">
        <v>13.9</v>
      </c>
      <c r="H244" s="5">
        <v>17.106000000000002</v>
      </c>
      <c r="I244" s="5">
        <v>38.540999999999997</v>
      </c>
      <c r="J244" s="5"/>
      <c r="K244" s="5">
        <f t="shared" si="12"/>
        <v>5.5244166483161541</v>
      </c>
      <c r="L244" s="5">
        <f t="shared" si="13"/>
        <v>8.2922747062399385</v>
      </c>
      <c r="M244" s="5"/>
      <c r="N244" s="6">
        <f>STDEV(L243:L247)</f>
        <v>7.8462034758003313E-2</v>
      </c>
    </row>
    <row r="245" spans="1:14" x14ac:dyDescent="0.3">
      <c r="A245" s="4">
        <v>3</v>
      </c>
      <c r="B245" s="5">
        <v>60</v>
      </c>
      <c r="C245" s="5">
        <v>15.43</v>
      </c>
      <c r="D245" s="5">
        <v>-2.87</v>
      </c>
      <c r="E245" s="5">
        <v>-1.65</v>
      </c>
      <c r="F245" s="5">
        <v>23.725000000000001</v>
      </c>
      <c r="G245" s="5">
        <v>13.898</v>
      </c>
      <c r="H245" s="5">
        <v>17.670999999999999</v>
      </c>
      <c r="I245" s="5">
        <v>39.46</v>
      </c>
      <c r="J245" s="5"/>
      <c r="K245" s="5">
        <f t="shared" si="12"/>
        <v>5.614909424926978</v>
      </c>
      <c r="L245" s="5">
        <f t="shared" si="13"/>
        <v>8.3905558395767912</v>
      </c>
      <c r="M245" s="5"/>
      <c r="N245" s="6"/>
    </row>
    <row r="246" spans="1:14" x14ac:dyDescent="0.3">
      <c r="A246" s="4">
        <v>4</v>
      </c>
      <c r="B246" s="5">
        <v>60</v>
      </c>
      <c r="C246" s="5">
        <v>15.51</v>
      </c>
      <c r="D246" s="5">
        <v>-2.87</v>
      </c>
      <c r="E246" s="5">
        <v>-1.65</v>
      </c>
      <c r="F246" s="5">
        <v>23.774999999999999</v>
      </c>
      <c r="G246" s="5">
        <v>13.894</v>
      </c>
      <c r="H246" s="5">
        <v>18.024000000000001</v>
      </c>
      <c r="I246" s="5">
        <v>39.454000000000001</v>
      </c>
      <c r="J246" s="5"/>
      <c r="K246" s="5">
        <f t="shared" si="12"/>
        <v>5.6707144766935658</v>
      </c>
      <c r="L246" s="5">
        <f t="shared" si="13"/>
        <v>8.3899179119425664</v>
      </c>
      <c r="M246" s="5"/>
      <c r="N246" s="6"/>
    </row>
    <row r="247" spans="1:14" x14ac:dyDescent="0.3">
      <c r="A247" s="4">
        <v>5</v>
      </c>
      <c r="B247" s="5">
        <v>60</v>
      </c>
      <c r="C247" s="5">
        <v>15.51</v>
      </c>
      <c r="D247" s="5">
        <v>-2.87</v>
      </c>
      <c r="E247" s="5">
        <v>-1.65</v>
      </c>
      <c r="F247" s="5">
        <v>23.75</v>
      </c>
      <c r="G247" s="5">
        <v>13.894</v>
      </c>
      <c r="H247" s="5">
        <v>16.242000000000001</v>
      </c>
      <c r="I247" s="5">
        <v>37.835999999999999</v>
      </c>
      <c r="J247" s="5"/>
      <c r="K247" s="5">
        <f t="shared" si="12"/>
        <v>5.3830937650664117</v>
      </c>
      <c r="L247" s="5">
        <f t="shared" si="13"/>
        <v>8.2160826598185199</v>
      </c>
      <c r="M247" s="5"/>
      <c r="N247" s="6"/>
    </row>
    <row r="248" spans="1:14" x14ac:dyDescent="0.3">
      <c r="A248" s="4">
        <v>1</v>
      </c>
      <c r="B248" s="5">
        <v>60</v>
      </c>
      <c r="C248" s="5">
        <v>15.43</v>
      </c>
      <c r="D248" s="5">
        <v>-2.87</v>
      </c>
      <c r="E248" s="5">
        <v>-0.94</v>
      </c>
      <c r="F248" s="5">
        <v>23.8</v>
      </c>
      <c r="G248" s="5">
        <v>13.904</v>
      </c>
      <c r="H248" s="5">
        <v>17.039000000000001</v>
      </c>
      <c r="I248" s="5">
        <v>38.286000000000001</v>
      </c>
      <c r="J248" s="5"/>
      <c r="K248" s="5">
        <f t="shared" si="12"/>
        <v>5.5135871423000067</v>
      </c>
      <c r="L248" s="5">
        <f t="shared" si="13"/>
        <v>8.2647969646618034</v>
      </c>
      <c r="M248" s="5"/>
      <c r="N248" s="6">
        <f>AVERAGE(L248:L252)</f>
        <v>8.2248690452114026</v>
      </c>
    </row>
    <row r="249" spans="1:14" x14ac:dyDescent="0.3">
      <c r="A249" s="4">
        <v>2</v>
      </c>
      <c r="B249" s="5">
        <v>60</v>
      </c>
      <c r="C249" s="5">
        <v>15.43</v>
      </c>
      <c r="D249" s="5">
        <v>-2.87</v>
      </c>
      <c r="E249" s="5">
        <v>-0.94</v>
      </c>
      <c r="F249" s="5">
        <v>23.75</v>
      </c>
      <c r="G249" s="5">
        <v>13.895</v>
      </c>
      <c r="H249" s="5">
        <v>16.881</v>
      </c>
      <c r="I249" s="5">
        <v>38.146000000000001</v>
      </c>
      <c r="J249" s="5"/>
      <c r="K249" s="5">
        <f t="shared" si="12"/>
        <v>5.4879642862482703</v>
      </c>
      <c r="L249" s="5">
        <f t="shared" si="13"/>
        <v>8.2496722287766069</v>
      </c>
      <c r="M249" s="5"/>
      <c r="N249" s="6">
        <f>STDEV(L248:L252)</f>
        <v>3.7546002220677589E-2</v>
      </c>
    </row>
    <row r="250" spans="1:14" x14ac:dyDescent="0.3">
      <c r="A250" s="4">
        <v>3</v>
      </c>
      <c r="B250" s="5">
        <v>60</v>
      </c>
      <c r="C250" s="5">
        <v>15.43</v>
      </c>
      <c r="D250" s="5">
        <v>-2.87</v>
      </c>
      <c r="E250" s="5">
        <v>-0.94</v>
      </c>
      <c r="F250" s="5">
        <v>23.8</v>
      </c>
      <c r="G250" s="5">
        <v>13.898</v>
      </c>
      <c r="H250" s="5">
        <v>17.221</v>
      </c>
      <c r="I250" s="5">
        <v>37.805999999999997</v>
      </c>
      <c r="J250" s="5"/>
      <c r="K250" s="5">
        <f t="shared" si="12"/>
        <v>5.5429552817988172</v>
      </c>
      <c r="L250" s="5">
        <f t="shared" si="13"/>
        <v>8.2128247657771833</v>
      </c>
      <c r="M250" s="5"/>
      <c r="N250" s="6"/>
    </row>
    <row r="251" spans="1:14" x14ac:dyDescent="0.3">
      <c r="A251" s="4">
        <v>4</v>
      </c>
      <c r="B251" s="5">
        <v>60</v>
      </c>
      <c r="C251" s="5">
        <v>15.34</v>
      </c>
      <c r="D251" s="5">
        <v>-2.87</v>
      </c>
      <c r="E251" s="5">
        <v>-0.94</v>
      </c>
      <c r="F251" s="5">
        <v>23.8</v>
      </c>
      <c r="G251" s="5">
        <v>13.898</v>
      </c>
      <c r="H251" s="5">
        <v>16.832000000000001</v>
      </c>
      <c r="I251" s="5">
        <v>37.957999999999998</v>
      </c>
      <c r="J251" s="5"/>
      <c r="K251" s="5">
        <f t="shared" si="12"/>
        <v>5.479993618832439</v>
      </c>
      <c r="L251" s="5">
        <f t="shared" si="13"/>
        <v>8.2293181415012153</v>
      </c>
      <c r="M251" s="5"/>
      <c r="N251" s="6"/>
    </row>
    <row r="252" spans="1:14" x14ac:dyDescent="0.3">
      <c r="A252" s="4">
        <v>5</v>
      </c>
      <c r="B252" s="5">
        <v>60</v>
      </c>
      <c r="C252" s="5">
        <v>15.34</v>
      </c>
      <c r="D252" s="5">
        <v>-2.87</v>
      </c>
      <c r="E252" s="5">
        <v>-0.94</v>
      </c>
      <c r="F252" s="5">
        <v>23.85</v>
      </c>
      <c r="G252" s="5">
        <v>13.896000000000001</v>
      </c>
      <c r="H252" s="5">
        <v>16.193999999999999</v>
      </c>
      <c r="I252" s="5">
        <v>37.392000000000003</v>
      </c>
      <c r="J252" s="5"/>
      <c r="K252" s="5">
        <f t="shared" si="12"/>
        <v>5.3751335481199805</v>
      </c>
      <c r="L252" s="5">
        <f t="shared" si="13"/>
        <v>8.1677331253402041</v>
      </c>
      <c r="M252" s="5"/>
      <c r="N252" s="6"/>
    </row>
    <row r="253" spans="1:14" x14ac:dyDescent="0.3">
      <c r="A253" s="4">
        <v>1</v>
      </c>
      <c r="B253" s="5">
        <v>60</v>
      </c>
      <c r="C253" s="5">
        <v>15.51</v>
      </c>
      <c r="D253" s="5">
        <v>-2.87</v>
      </c>
      <c r="E253" s="5">
        <v>0</v>
      </c>
      <c r="F253" s="5">
        <v>23.875</v>
      </c>
      <c r="G253" s="5">
        <v>13.894</v>
      </c>
      <c r="H253" s="5">
        <v>17.033000000000001</v>
      </c>
      <c r="I253" s="5">
        <v>37.07</v>
      </c>
      <c r="J253" s="5"/>
      <c r="K253" s="5">
        <f t="shared" si="12"/>
        <v>5.5126162978947164</v>
      </c>
      <c r="L253" s="5">
        <f t="shared" si="13"/>
        <v>8.1324890004019821</v>
      </c>
      <c r="M253" s="5"/>
      <c r="N253" s="6">
        <f>AVERAGE(L253:L257)</f>
        <v>8.1182783643608403</v>
      </c>
    </row>
    <row r="254" spans="1:14" x14ac:dyDescent="0.3">
      <c r="A254" s="4">
        <v>2</v>
      </c>
      <c r="B254" s="5">
        <v>60</v>
      </c>
      <c r="C254" s="5">
        <v>15.51</v>
      </c>
      <c r="D254" s="5">
        <v>-2.87</v>
      </c>
      <c r="E254" s="5">
        <v>0</v>
      </c>
      <c r="F254" s="5">
        <v>23.8</v>
      </c>
      <c r="G254" s="5">
        <v>13.895</v>
      </c>
      <c r="H254" s="5">
        <v>17.215</v>
      </c>
      <c r="I254" s="5">
        <v>36.747</v>
      </c>
      <c r="J254" s="5"/>
      <c r="K254" s="5">
        <f t="shared" si="12"/>
        <v>5.5419895820995464</v>
      </c>
      <c r="L254" s="5">
        <f t="shared" si="13"/>
        <v>8.0969812989297782</v>
      </c>
      <c r="M254" s="5"/>
      <c r="N254" s="6">
        <f>STDEV(L253:L257)</f>
        <v>2.3056068442911581E-2</v>
      </c>
    </row>
    <row r="255" spans="1:14" x14ac:dyDescent="0.3">
      <c r="A255" s="4">
        <v>3</v>
      </c>
      <c r="B255" s="5">
        <v>60</v>
      </c>
      <c r="C255" s="5">
        <v>15.51</v>
      </c>
      <c r="D255" s="5">
        <v>-2.87</v>
      </c>
      <c r="E255" s="5">
        <v>0</v>
      </c>
      <c r="F255" s="5">
        <v>23.85</v>
      </c>
      <c r="G255" s="5">
        <v>13.903</v>
      </c>
      <c r="H255" s="5">
        <v>17.690000000000001</v>
      </c>
      <c r="I255" s="5">
        <v>37.173000000000002</v>
      </c>
      <c r="J255" s="5"/>
      <c r="K255" s="5">
        <f t="shared" si="12"/>
        <v>5.6179272116340702</v>
      </c>
      <c r="L255" s="5">
        <f t="shared" si="13"/>
        <v>8.1437793338010422</v>
      </c>
      <c r="M255" s="5"/>
      <c r="N255" s="6"/>
    </row>
    <row r="256" spans="1:14" x14ac:dyDescent="0.3">
      <c r="A256" s="4">
        <v>4</v>
      </c>
      <c r="B256" s="5">
        <v>60</v>
      </c>
      <c r="C256" s="5">
        <v>15.6</v>
      </c>
      <c r="D256" s="5">
        <v>-2.87</v>
      </c>
      <c r="E256" s="5">
        <v>0</v>
      </c>
      <c r="F256" s="5">
        <v>23.85</v>
      </c>
      <c r="G256" s="5">
        <v>13.891999999999999</v>
      </c>
      <c r="H256" s="5">
        <v>18.309999999999999</v>
      </c>
      <c r="I256" s="5">
        <v>37.021000000000001</v>
      </c>
      <c r="J256" s="5"/>
      <c r="K256" s="5">
        <f t="shared" si="12"/>
        <v>5.7155280922915086</v>
      </c>
      <c r="L256" s="5">
        <f t="shared" si="13"/>
        <v>8.127112365223395</v>
      </c>
      <c r="M256" s="5"/>
      <c r="N256" s="6"/>
    </row>
    <row r="257" spans="1:14" x14ac:dyDescent="0.3">
      <c r="A257" s="4">
        <v>5</v>
      </c>
      <c r="B257" s="5">
        <v>60</v>
      </c>
      <c r="C257" s="5">
        <v>15.43</v>
      </c>
      <c r="D257" s="5">
        <v>-2.87</v>
      </c>
      <c r="E257" s="5">
        <v>0</v>
      </c>
      <c r="F257" s="5">
        <v>23.824999999999999</v>
      </c>
      <c r="G257" s="5">
        <v>13.903</v>
      </c>
      <c r="H257" s="5">
        <v>17.757000000000001</v>
      </c>
      <c r="I257" s="5">
        <v>36.692999999999998</v>
      </c>
      <c r="J257" s="5"/>
      <c r="K257" s="5">
        <f t="shared" si="12"/>
        <v>5.628555967890458</v>
      </c>
      <c r="L257" s="5">
        <f t="shared" si="13"/>
        <v>8.0910298234480056</v>
      </c>
      <c r="M257" s="5"/>
      <c r="N257" s="6"/>
    </row>
    <row r="258" spans="1:14" x14ac:dyDescent="0.3">
      <c r="A258" s="4">
        <v>1</v>
      </c>
      <c r="B258" s="5">
        <v>60</v>
      </c>
      <c r="C258" s="5">
        <v>15.6</v>
      </c>
      <c r="D258" s="5">
        <v>-2.87</v>
      </c>
      <c r="E258" s="5">
        <v>0.94</v>
      </c>
      <c r="F258" s="5">
        <v>24</v>
      </c>
      <c r="G258" s="5">
        <v>13.897</v>
      </c>
      <c r="H258" s="5">
        <v>17.062999999999999</v>
      </c>
      <c r="I258" s="5">
        <v>34.478999999999999</v>
      </c>
      <c r="J258" s="5"/>
      <c r="K258" s="5">
        <f t="shared" si="12"/>
        <v>5.5174688116401658</v>
      </c>
      <c r="L258" s="5">
        <f t="shared" si="13"/>
        <v>7.8431319637560639</v>
      </c>
      <c r="M258" s="5"/>
      <c r="N258" s="6">
        <f>AVERAGE(L258:L262)</f>
        <v>7.8680564217130087</v>
      </c>
    </row>
    <row r="259" spans="1:14" x14ac:dyDescent="0.3">
      <c r="A259" s="4">
        <v>2</v>
      </c>
      <c r="B259" s="5">
        <v>60</v>
      </c>
      <c r="C259" s="5">
        <v>15.34</v>
      </c>
      <c r="D259" s="5">
        <v>-2.87</v>
      </c>
      <c r="E259" s="5">
        <v>0.94</v>
      </c>
      <c r="F259" s="5">
        <v>23.9</v>
      </c>
      <c r="G259" s="5">
        <v>13.897</v>
      </c>
      <c r="H259" s="5">
        <v>18.2</v>
      </c>
      <c r="I259" s="5">
        <v>35.093000000000004</v>
      </c>
      <c r="J259" s="5"/>
      <c r="K259" s="5">
        <f t="shared" si="12"/>
        <v>5.6983337940617291</v>
      </c>
      <c r="L259" s="5">
        <f t="shared" si="13"/>
        <v>7.912658813036578</v>
      </c>
      <c r="M259" s="5"/>
      <c r="N259" s="6">
        <f>STDEV(L258:L262)</f>
        <v>3.985380081844065E-2</v>
      </c>
    </row>
    <row r="260" spans="1:14" x14ac:dyDescent="0.3">
      <c r="A260" s="4">
        <v>3</v>
      </c>
      <c r="B260" s="5">
        <v>60</v>
      </c>
      <c r="C260" s="5">
        <v>15.43</v>
      </c>
      <c r="D260" s="5">
        <v>-2.87</v>
      </c>
      <c r="E260" s="5">
        <v>0.94</v>
      </c>
      <c r="F260" s="5">
        <v>24</v>
      </c>
      <c r="G260" s="5">
        <v>13.898999999999999</v>
      </c>
      <c r="H260" s="5">
        <v>17.106000000000002</v>
      </c>
      <c r="I260" s="5">
        <v>35.063000000000002</v>
      </c>
      <c r="J260" s="5"/>
      <c r="K260" s="5">
        <f t="shared" si="12"/>
        <v>5.5244166483161541</v>
      </c>
      <c r="L260" s="5">
        <f t="shared" si="13"/>
        <v>7.9092759372725094</v>
      </c>
      <c r="M260" s="5"/>
      <c r="N260" s="6"/>
    </row>
    <row r="261" spans="1:14" x14ac:dyDescent="0.3">
      <c r="A261" s="4">
        <v>4</v>
      </c>
      <c r="B261" s="5">
        <v>60</v>
      </c>
      <c r="C261" s="5">
        <v>15.43</v>
      </c>
      <c r="D261" s="5">
        <v>-2.87</v>
      </c>
      <c r="E261" s="5">
        <v>0.94</v>
      </c>
      <c r="F261" s="5">
        <v>23.85</v>
      </c>
      <c r="G261" s="5">
        <v>13.894</v>
      </c>
      <c r="H261" s="5">
        <v>18.231000000000002</v>
      </c>
      <c r="I261" s="5">
        <v>34.515999999999998</v>
      </c>
      <c r="J261" s="5"/>
      <c r="K261" s="5">
        <f t="shared" si="12"/>
        <v>5.703184705887903</v>
      </c>
      <c r="L261" s="5">
        <f t="shared" si="13"/>
        <v>7.8473391343653098</v>
      </c>
      <c r="M261" s="5"/>
      <c r="N261" s="6"/>
    </row>
    <row r="262" spans="1:14" x14ac:dyDescent="0.3">
      <c r="A262" s="4">
        <v>5</v>
      </c>
      <c r="B262" s="5">
        <v>60</v>
      </c>
      <c r="C262" s="5">
        <v>15.43</v>
      </c>
      <c r="D262" s="5">
        <v>-2.87</v>
      </c>
      <c r="E262" s="5">
        <v>0.94</v>
      </c>
      <c r="F262" s="5">
        <v>24</v>
      </c>
      <c r="G262" s="5">
        <v>13.895</v>
      </c>
      <c r="H262" s="5">
        <v>19.167000000000002</v>
      </c>
      <c r="I262" s="5">
        <v>34.344999999999999</v>
      </c>
      <c r="J262" s="5"/>
      <c r="K262" s="5">
        <f t="shared" si="12"/>
        <v>5.8477562658875817</v>
      </c>
      <c r="L262" s="5">
        <f t="shared" si="13"/>
        <v>7.827876260134583</v>
      </c>
      <c r="M262" s="5"/>
      <c r="N262" s="6"/>
    </row>
    <row r="263" spans="1:14" x14ac:dyDescent="0.3">
      <c r="A263" s="4">
        <v>1</v>
      </c>
      <c r="B263" s="5">
        <v>60</v>
      </c>
      <c r="C263" s="5">
        <v>15.51</v>
      </c>
      <c r="D263" s="5">
        <v>-2.87</v>
      </c>
      <c r="E263" s="5">
        <v>1.65</v>
      </c>
      <c r="F263" s="5">
        <v>24</v>
      </c>
      <c r="G263" s="5">
        <v>13.897</v>
      </c>
      <c r="H263" s="5">
        <v>17.135999999999999</v>
      </c>
      <c r="I263" s="5">
        <v>31.22</v>
      </c>
      <c r="J263" s="5"/>
      <c r="K263" s="5">
        <f t="shared" ref="K263:K308" si="14">SQRT(2*(H263)/$N$1)</f>
        <v>5.5292588060064771</v>
      </c>
      <c r="L263" s="5">
        <f t="shared" ref="L263:L308" si="15">SQRT(2*(I263)/$N$1)</f>
        <v>7.4632611918783889</v>
      </c>
      <c r="M263" s="5"/>
      <c r="N263" s="6">
        <f>AVERAGE(L263:L267)</f>
        <v>7.3948083511575149</v>
      </c>
    </row>
    <row r="264" spans="1:14" x14ac:dyDescent="0.3">
      <c r="A264" s="4">
        <v>2</v>
      </c>
      <c r="B264" s="5">
        <v>60</v>
      </c>
      <c r="C264" s="5">
        <v>15.76</v>
      </c>
      <c r="D264" s="5">
        <v>-2.87</v>
      </c>
      <c r="E264" s="5">
        <v>1.65</v>
      </c>
      <c r="F264" s="5">
        <v>24</v>
      </c>
      <c r="G264" s="5">
        <v>13.891999999999999</v>
      </c>
      <c r="H264" s="5">
        <v>17.670999999999999</v>
      </c>
      <c r="I264" s="5">
        <v>30.253</v>
      </c>
      <c r="J264" s="5"/>
      <c r="K264" s="5">
        <f t="shared" si="14"/>
        <v>5.614909424926978</v>
      </c>
      <c r="L264" s="5">
        <f t="shared" si="15"/>
        <v>7.3467695146585692</v>
      </c>
      <c r="M264" s="5"/>
      <c r="N264" s="6">
        <f>STDEV(L263:L267)</f>
        <v>4.4090990617936913E-2</v>
      </c>
    </row>
    <row r="265" spans="1:14" x14ac:dyDescent="0.3">
      <c r="A265" s="4">
        <v>3</v>
      </c>
      <c r="B265" s="5">
        <v>60</v>
      </c>
      <c r="C265" s="5">
        <v>15.51</v>
      </c>
      <c r="D265" s="5">
        <v>-2.87</v>
      </c>
      <c r="E265" s="5">
        <v>1.65</v>
      </c>
      <c r="F265" s="5">
        <v>24</v>
      </c>
      <c r="G265" s="5">
        <v>13.894</v>
      </c>
      <c r="H265" s="5">
        <v>16.686</v>
      </c>
      <c r="I265" s="5">
        <v>30.49</v>
      </c>
      <c r="J265" s="5"/>
      <c r="K265" s="5">
        <f t="shared" si="14"/>
        <v>5.4561752491729747</v>
      </c>
      <c r="L265" s="5">
        <f t="shared" si="15"/>
        <v>7.375490428060747</v>
      </c>
      <c r="M265" s="5"/>
      <c r="N265" s="6"/>
    </row>
    <row r="266" spans="1:14" x14ac:dyDescent="0.3">
      <c r="A266" s="4">
        <v>4</v>
      </c>
      <c r="B266" s="5">
        <v>60</v>
      </c>
      <c r="C266" s="5">
        <v>15.51</v>
      </c>
      <c r="D266" s="5">
        <v>-2.87</v>
      </c>
      <c r="E266" s="5">
        <v>1.65</v>
      </c>
      <c r="F266" s="5">
        <v>24</v>
      </c>
      <c r="G266" s="5">
        <v>13.896000000000001</v>
      </c>
      <c r="H266" s="5">
        <v>16.34</v>
      </c>
      <c r="I266" s="5">
        <v>30.527000000000001</v>
      </c>
      <c r="J266" s="5"/>
      <c r="K266" s="5">
        <f t="shared" si="14"/>
        <v>5.3993094348149153</v>
      </c>
      <c r="L266" s="5">
        <f t="shared" si="15"/>
        <v>7.3799641966113185</v>
      </c>
      <c r="M266" s="5"/>
      <c r="N266" s="6"/>
    </row>
    <row r="267" spans="1:14" x14ac:dyDescent="0.3">
      <c r="A267" s="4">
        <v>5</v>
      </c>
      <c r="B267" s="5">
        <v>60</v>
      </c>
      <c r="C267" s="5">
        <v>15.43</v>
      </c>
      <c r="D267" s="5">
        <v>-2.87</v>
      </c>
      <c r="E267" s="5">
        <v>1.65</v>
      </c>
      <c r="F267" s="5">
        <v>24</v>
      </c>
      <c r="G267" s="5">
        <v>13.891999999999999</v>
      </c>
      <c r="H267" s="5">
        <v>17.385999999999999</v>
      </c>
      <c r="I267" s="5">
        <v>30.763999999999999</v>
      </c>
      <c r="J267" s="5"/>
      <c r="K267" s="5">
        <f t="shared" si="14"/>
        <v>5.5694464064090443</v>
      </c>
      <c r="L267" s="5">
        <f t="shared" si="15"/>
        <v>7.4085564245785518</v>
      </c>
      <c r="M267" s="5"/>
      <c r="N267" s="6"/>
    </row>
    <row r="268" spans="1:14" x14ac:dyDescent="0.3">
      <c r="A268" s="4">
        <v>1</v>
      </c>
      <c r="B268" s="5">
        <v>60</v>
      </c>
      <c r="C268" s="5">
        <v>15.43</v>
      </c>
      <c r="D268" s="5">
        <v>-2.87</v>
      </c>
      <c r="E268" s="5">
        <v>2.13</v>
      </c>
      <c r="F268" s="5">
        <v>24</v>
      </c>
      <c r="G268" s="5">
        <v>13.891999999999999</v>
      </c>
      <c r="H268" s="5">
        <v>17.629000000000001</v>
      </c>
      <c r="I268" s="5">
        <v>27.742000000000001</v>
      </c>
      <c r="J268" s="5"/>
      <c r="K268" s="5">
        <f t="shared" si="14"/>
        <v>5.6082327657367541</v>
      </c>
      <c r="L268" s="5">
        <f t="shared" si="15"/>
        <v>7.0352749531464163</v>
      </c>
      <c r="M268" s="5"/>
      <c r="N268" s="6">
        <f>AVERAGE(L268:L272)</f>
        <v>7.0183129077232653</v>
      </c>
    </row>
    <row r="269" spans="1:14" x14ac:dyDescent="0.3">
      <c r="A269" s="4">
        <v>2</v>
      </c>
      <c r="B269" s="5">
        <v>60</v>
      </c>
      <c r="C269" s="5">
        <v>15.51</v>
      </c>
      <c r="D269" s="5">
        <v>-2.87</v>
      </c>
      <c r="E269" s="5">
        <v>2.13</v>
      </c>
      <c r="F269" s="5">
        <v>24.024999999999999</v>
      </c>
      <c r="G269" s="5">
        <v>13.89</v>
      </c>
      <c r="H269" s="5">
        <v>17.459</v>
      </c>
      <c r="I269" s="5">
        <v>27.814</v>
      </c>
      <c r="J269" s="5"/>
      <c r="K269" s="5">
        <f t="shared" si="14"/>
        <v>5.5811266004491289</v>
      </c>
      <c r="L269" s="5">
        <f t="shared" si="15"/>
        <v>7.0443985123946034</v>
      </c>
      <c r="M269" s="5"/>
      <c r="N269" s="6">
        <f>STDEV(L268:L272)</f>
        <v>5.9933102094722863E-2</v>
      </c>
    </row>
    <row r="270" spans="1:14" x14ac:dyDescent="0.3">
      <c r="A270" s="4">
        <v>3</v>
      </c>
      <c r="B270" s="5">
        <v>60</v>
      </c>
      <c r="C270" s="5">
        <v>15.51</v>
      </c>
      <c r="D270" s="5">
        <v>-2.87</v>
      </c>
      <c r="E270" s="5">
        <v>2.13</v>
      </c>
      <c r="F270" s="5">
        <v>24</v>
      </c>
      <c r="G270" s="5">
        <v>13.891</v>
      </c>
      <c r="H270" s="5">
        <v>17.792999999999999</v>
      </c>
      <c r="I270" s="5">
        <v>27.358000000000001</v>
      </c>
      <c r="J270" s="5"/>
      <c r="K270" s="5">
        <f t="shared" si="14"/>
        <v>5.6342586603034368</v>
      </c>
      <c r="L270" s="5">
        <f t="shared" si="15"/>
        <v>6.9864147514582466</v>
      </c>
      <c r="M270" s="5"/>
      <c r="N270" s="6"/>
    </row>
    <row r="271" spans="1:14" x14ac:dyDescent="0.3">
      <c r="A271" s="4">
        <v>4</v>
      </c>
      <c r="B271" s="5">
        <v>60</v>
      </c>
      <c r="C271" s="5">
        <v>15.51</v>
      </c>
      <c r="D271" s="5">
        <v>-2.87</v>
      </c>
      <c r="E271" s="5">
        <v>2.13</v>
      </c>
      <c r="F271" s="5">
        <v>24</v>
      </c>
      <c r="G271" s="5">
        <v>13.891</v>
      </c>
      <c r="H271" s="5">
        <v>17.373000000000001</v>
      </c>
      <c r="I271" s="5">
        <v>26.951000000000001</v>
      </c>
      <c r="J271" s="5"/>
      <c r="K271" s="5">
        <f t="shared" si="14"/>
        <v>5.5673638013605125</v>
      </c>
      <c r="L271" s="5">
        <f t="shared" si="15"/>
        <v>6.9342522092906123</v>
      </c>
      <c r="M271" s="5"/>
      <c r="N271" s="6"/>
    </row>
    <row r="272" spans="1:14" x14ac:dyDescent="0.3">
      <c r="A272" s="4">
        <v>5</v>
      </c>
      <c r="B272" s="5">
        <v>60</v>
      </c>
      <c r="C272" s="5">
        <v>15.51</v>
      </c>
      <c r="D272" s="5">
        <v>-2.87</v>
      </c>
      <c r="E272" s="5">
        <v>2.13</v>
      </c>
      <c r="F272" s="5">
        <v>24.05</v>
      </c>
      <c r="G272" s="5">
        <v>13.893000000000001</v>
      </c>
      <c r="H272" s="5">
        <v>17.446000000000002</v>
      </c>
      <c r="I272" s="5">
        <v>28.184999999999999</v>
      </c>
      <c r="J272" s="5"/>
      <c r="K272" s="5">
        <f t="shared" si="14"/>
        <v>5.5790483555063055</v>
      </c>
      <c r="L272" s="5">
        <f t="shared" si="15"/>
        <v>7.0912241123264437</v>
      </c>
      <c r="M272" s="5"/>
      <c r="N272" s="6"/>
    </row>
    <row r="273" spans="1:14" x14ac:dyDescent="0.3">
      <c r="A273" s="4">
        <v>1</v>
      </c>
      <c r="B273" s="5">
        <v>60</v>
      </c>
      <c r="C273" s="5">
        <v>15.43</v>
      </c>
      <c r="D273" s="5">
        <v>-2.87</v>
      </c>
      <c r="E273" s="5">
        <v>2.52</v>
      </c>
      <c r="F273" s="5">
        <v>24.024999999999999</v>
      </c>
      <c r="G273" s="5">
        <v>13.896000000000001</v>
      </c>
      <c r="H273" s="5">
        <v>16.82</v>
      </c>
      <c r="I273" s="5">
        <v>24.111000000000001</v>
      </c>
      <c r="J273" s="5"/>
      <c r="K273" s="5">
        <f t="shared" si="14"/>
        <v>5.4780398507679049</v>
      </c>
      <c r="L273" s="5">
        <f t="shared" si="15"/>
        <v>6.5587307577413458</v>
      </c>
      <c r="M273" s="5"/>
      <c r="N273" s="6">
        <f>AVERAGE(L273:L277)</f>
        <v>6.5254747670284363</v>
      </c>
    </row>
    <row r="274" spans="1:14" x14ac:dyDescent="0.3">
      <c r="A274" s="4">
        <v>2</v>
      </c>
      <c r="B274" s="5">
        <v>60</v>
      </c>
      <c r="C274" s="5">
        <v>15.51</v>
      </c>
      <c r="D274" s="5">
        <v>-2.87</v>
      </c>
      <c r="E274" s="5">
        <v>2.52</v>
      </c>
      <c r="F274" s="5">
        <v>24.05</v>
      </c>
      <c r="G274" s="5">
        <v>13.894</v>
      </c>
      <c r="H274" s="5">
        <v>17.106000000000002</v>
      </c>
      <c r="I274" s="5">
        <v>24.61</v>
      </c>
      <c r="J274" s="5"/>
      <c r="K274" s="5">
        <f t="shared" si="14"/>
        <v>5.5244166483161541</v>
      </c>
      <c r="L274" s="5">
        <f t="shared" si="15"/>
        <v>6.6262527639192133</v>
      </c>
      <c r="M274" s="5"/>
      <c r="N274" s="6">
        <f>STDEV(L273:L277)</f>
        <v>0.10005981554653405</v>
      </c>
    </row>
    <row r="275" spans="1:14" x14ac:dyDescent="0.3">
      <c r="A275" s="4">
        <v>3</v>
      </c>
      <c r="B275" s="5">
        <v>60</v>
      </c>
      <c r="C275" s="5">
        <v>15.43</v>
      </c>
      <c r="D275" s="5">
        <v>-2.87</v>
      </c>
      <c r="E275" s="5">
        <v>2.52</v>
      </c>
      <c r="F275" s="5">
        <v>24.05</v>
      </c>
      <c r="G275" s="5">
        <v>13.897</v>
      </c>
      <c r="H275" s="5">
        <v>16.388000000000002</v>
      </c>
      <c r="I275" s="5">
        <v>23.552</v>
      </c>
      <c r="J275" s="5"/>
      <c r="K275" s="5">
        <f t="shared" si="14"/>
        <v>5.4072340615376868</v>
      </c>
      <c r="L275" s="5">
        <f t="shared" si="15"/>
        <v>6.4822546490031341</v>
      </c>
      <c r="M275" s="5"/>
      <c r="N275" s="6"/>
    </row>
    <row r="276" spans="1:14" x14ac:dyDescent="0.3">
      <c r="A276" s="4">
        <v>4</v>
      </c>
      <c r="B276" s="5">
        <v>60</v>
      </c>
      <c r="C276" s="5">
        <v>15.51</v>
      </c>
      <c r="D276" s="5">
        <v>-2.87</v>
      </c>
      <c r="E276" s="5">
        <v>2.52</v>
      </c>
      <c r="F276" s="5">
        <v>24.074999999999999</v>
      </c>
      <c r="G276" s="5">
        <v>13.895</v>
      </c>
      <c r="H276" s="5">
        <v>16.716999999999999</v>
      </c>
      <c r="I276" s="5">
        <v>24.318000000000001</v>
      </c>
      <c r="J276" s="5"/>
      <c r="K276" s="5">
        <f t="shared" si="14"/>
        <v>5.4612412609786354</v>
      </c>
      <c r="L276" s="5">
        <f t="shared" si="15"/>
        <v>6.5868249001953947</v>
      </c>
      <c r="M276" s="5"/>
      <c r="N276" s="6"/>
    </row>
    <row r="277" spans="1:14" x14ac:dyDescent="0.3">
      <c r="A277" s="4">
        <v>5</v>
      </c>
      <c r="B277" s="5">
        <v>60</v>
      </c>
      <c r="C277" s="5">
        <v>15.51</v>
      </c>
      <c r="D277" s="5">
        <v>-2.87</v>
      </c>
      <c r="E277" s="5">
        <v>2.52</v>
      </c>
      <c r="F277" s="5">
        <v>24</v>
      </c>
      <c r="G277" s="5">
        <v>13.89</v>
      </c>
      <c r="H277" s="5">
        <v>17.337</v>
      </c>
      <c r="I277" s="5">
        <v>22.766999999999999</v>
      </c>
      <c r="J277" s="5"/>
      <c r="K277" s="5">
        <f t="shared" si="14"/>
        <v>5.5615925173614063</v>
      </c>
      <c r="L277" s="5">
        <f t="shared" si="15"/>
        <v>6.3733107642830875</v>
      </c>
      <c r="M277" s="5"/>
      <c r="N277" s="6"/>
    </row>
    <row r="278" spans="1:14" x14ac:dyDescent="0.3">
      <c r="A278" s="4">
        <v>1</v>
      </c>
      <c r="B278" s="5">
        <v>60</v>
      </c>
      <c r="C278" s="5">
        <v>15.6</v>
      </c>
      <c r="D278" s="5">
        <v>-2.87</v>
      </c>
      <c r="E278" s="5">
        <v>2.87</v>
      </c>
      <c r="F278" s="5">
        <v>23.975000000000001</v>
      </c>
      <c r="G278" s="5">
        <v>13.895</v>
      </c>
      <c r="H278" s="5">
        <v>17.123999999999999</v>
      </c>
      <c r="I278" s="5">
        <v>17.422000000000001</v>
      </c>
      <c r="J278" s="5"/>
      <c r="K278" s="5">
        <f t="shared" si="14"/>
        <v>5.5273224519614539</v>
      </c>
      <c r="L278" s="5">
        <f t="shared" si="15"/>
        <v>5.5752095603117571</v>
      </c>
      <c r="M278" s="5"/>
      <c r="N278" s="6">
        <f>AVERAGE(L278:L282)</f>
        <v>5.6287193144414687</v>
      </c>
    </row>
    <row r="279" spans="1:14" x14ac:dyDescent="0.3">
      <c r="A279" s="4">
        <v>2</v>
      </c>
      <c r="B279" s="5">
        <v>60</v>
      </c>
      <c r="C279" s="5">
        <v>15.34</v>
      </c>
      <c r="D279" s="5">
        <v>-2.87</v>
      </c>
      <c r="E279" s="5">
        <v>2.87</v>
      </c>
      <c r="F279" s="5">
        <v>24</v>
      </c>
      <c r="G279" s="5">
        <v>13.897</v>
      </c>
      <c r="H279" s="5">
        <v>17.161000000000001</v>
      </c>
      <c r="I279" s="5">
        <v>18.45</v>
      </c>
      <c r="J279" s="5"/>
      <c r="K279" s="5">
        <f t="shared" si="14"/>
        <v>5.5332907005512029</v>
      </c>
      <c r="L279" s="5">
        <f t="shared" si="15"/>
        <v>5.7373372184845808</v>
      </c>
      <c r="M279" s="5"/>
      <c r="N279" s="6">
        <f>STDEV(L278:L282)</f>
        <v>6.9555293954317698E-2</v>
      </c>
    </row>
    <row r="280" spans="1:14" x14ac:dyDescent="0.3">
      <c r="A280" s="4">
        <v>3</v>
      </c>
      <c r="B280" s="5">
        <v>60</v>
      </c>
      <c r="C280" s="5">
        <v>15.43</v>
      </c>
      <c r="D280" s="5">
        <v>-2.87</v>
      </c>
      <c r="E280" s="5">
        <v>2.87</v>
      </c>
      <c r="F280" s="5">
        <v>24</v>
      </c>
      <c r="G280" s="5">
        <v>13.895</v>
      </c>
      <c r="H280" s="5">
        <v>17.009</v>
      </c>
      <c r="I280" s="5">
        <v>17.702000000000002</v>
      </c>
      <c r="J280" s="5"/>
      <c r="K280" s="5">
        <f t="shared" si="14"/>
        <v>5.5087312092829919</v>
      </c>
      <c r="L280" s="5">
        <f t="shared" si="15"/>
        <v>5.6198323472379101</v>
      </c>
      <c r="M280" s="5"/>
      <c r="N280" s="6"/>
    </row>
    <row r="281" spans="1:14" x14ac:dyDescent="0.3">
      <c r="A281" s="4">
        <v>4</v>
      </c>
      <c r="B281" s="5">
        <v>60</v>
      </c>
      <c r="C281" s="5">
        <v>15.51</v>
      </c>
      <c r="D281" s="5">
        <v>-2.87</v>
      </c>
      <c r="E281" s="5">
        <v>2.87</v>
      </c>
      <c r="F281" s="5">
        <v>23.975000000000001</v>
      </c>
      <c r="G281" s="5">
        <v>13.897</v>
      </c>
      <c r="H281" s="5">
        <v>17.251999999999999</v>
      </c>
      <c r="I281" s="5">
        <v>17.878</v>
      </c>
      <c r="J281" s="5"/>
      <c r="K281" s="5">
        <f t="shared" si="14"/>
        <v>5.547942052414494</v>
      </c>
      <c r="L281" s="5">
        <f t="shared" si="15"/>
        <v>5.6477005022774991</v>
      </c>
      <c r="M281" s="5"/>
      <c r="N281" s="6"/>
    </row>
    <row r="282" spans="1:14" ht="15" thickBot="1" x14ac:dyDescent="0.35">
      <c r="A282" s="7">
        <v>5</v>
      </c>
      <c r="B282" s="8">
        <v>60</v>
      </c>
      <c r="C282" s="8">
        <v>15.51</v>
      </c>
      <c r="D282" s="8">
        <v>-2.87</v>
      </c>
      <c r="E282" s="8">
        <v>2.87</v>
      </c>
      <c r="F282" s="8">
        <v>24</v>
      </c>
      <c r="G282" s="8">
        <v>13.895</v>
      </c>
      <c r="H282" s="8">
        <v>17.908999999999999</v>
      </c>
      <c r="I282" s="8">
        <v>17.349</v>
      </c>
      <c r="J282" s="8"/>
      <c r="K282" s="8">
        <f t="shared" si="14"/>
        <v>5.6525948664620618</v>
      </c>
      <c r="L282" s="8">
        <f t="shared" si="15"/>
        <v>5.5635169438955945</v>
      </c>
      <c r="M282" s="8"/>
      <c r="N282" s="9"/>
    </row>
    <row r="283" spans="1:14" x14ac:dyDescent="0.3">
      <c r="A283" s="1">
        <v>1</v>
      </c>
      <c r="B283" s="2">
        <v>60</v>
      </c>
      <c r="C283" s="2">
        <v>15.68</v>
      </c>
      <c r="D283" s="2">
        <v>-2.87</v>
      </c>
      <c r="E283" s="2">
        <v>-2.87</v>
      </c>
      <c r="F283" s="2">
        <v>24.024999999999999</v>
      </c>
      <c r="G283" s="2">
        <v>13.891999999999999</v>
      </c>
      <c r="H283" s="2">
        <v>16.844000000000001</v>
      </c>
      <c r="I283" s="2">
        <v>16.023</v>
      </c>
      <c r="J283" s="2"/>
      <c r="K283" s="2">
        <f t="shared" si="14"/>
        <v>5.4819466905732721</v>
      </c>
      <c r="L283" s="2">
        <f t="shared" si="15"/>
        <v>5.3466789612208974</v>
      </c>
      <c r="M283" s="2">
        <f>AVERAGE(K283:K287)</f>
        <v>5.5517158147164718</v>
      </c>
      <c r="N283" s="3"/>
    </row>
    <row r="284" spans="1:14" x14ac:dyDescent="0.3">
      <c r="A284" s="4">
        <v>2</v>
      </c>
      <c r="B284" s="5">
        <v>60</v>
      </c>
      <c r="C284" s="5">
        <v>15.6</v>
      </c>
      <c r="D284" s="5">
        <v>-2.87</v>
      </c>
      <c r="E284" s="5">
        <v>-2.87</v>
      </c>
      <c r="F284" s="5">
        <v>24</v>
      </c>
      <c r="G284" s="5">
        <v>13.888999999999999</v>
      </c>
      <c r="H284" s="5">
        <v>18.175999999999998</v>
      </c>
      <c r="I284" s="5">
        <v>15.756</v>
      </c>
      <c r="J284" s="5"/>
      <c r="K284" s="5">
        <f t="shared" si="14"/>
        <v>5.6945754114648395</v>
      </c>
      <c r="L284" s="5">
        <f t="shared" si="15"/>
        <v>5.3019445038453092</v>
      </c>
      <c r="M284" s="5">
        <f>STDEV(K283:K287)</f>
        <v>9.5879338331281705E-2</v>
      </c>
      <c r="N284" s="6"/>
    </row>
    <row r="285" spans="1:14" x14ac:dyDescent="0.3">
      <c r="A285" s="4">
        <v>3</v>
      </c>
      <c r="B285" s="5">
        <v>60</v>
      </c>
      <c r="C285" s="5">
        <v>15.6</v>
      </c>
      <c r="D285" s="5">
        <v>-2.87</v>
      </c>
      <c r="E285" s="5">
        <v>-2.87</v>
      </c>
      <c r="F285" s="5">
        <v>24</v>
      </c>
      <c r="G285" s="5">
        <v>13.891</v>
      </c>
      <c r="H285" s="5">
        <v>17.452000000000002</v>
      </c>
      <c r="I285" s="5">
        <v>15.901999999999999</v>
      </c>
      <c r="J285" s="5"/>
      <c r="K285" s="5">
        <f t="shared" si="14"/>
        <v>5.5800076416613544</v>
      </c>
      <c r="L285" s="5">
        <f t="shared" si="15"/>
        <v>5.326452593857562</v>
      </c>
      <c r="M285" s="5"/>
      <c r="N285" s="6"/>
    </row>
    <row r="286" spans="1:14" x14ac:dyDescent="0.3">
      <c r="A286" s="4">
        <v>4</v>
      </c>
      <c r="B286" s="5">
        <v>60</v>
      </c>
      <c r="C286" s="5">
        <v>15.34</v>
      </c>
      <c r="D286" s="5">
        <v>-2.87</v>
      </c>
      <c r="E286" s="5">
        <v>-2.87</v>
      </c>
      <c r="F286" s="5">
        <v>24.024999999999999</v>
      </c>
      <c r="G286" s="5">
        <v>13.894</v>
      </c>
      <c r="H286" s="5">
        <v>17.288</v>
      </c>
      <c r="I286" s="5">
        <v>16.686</v>
      </c>
      <c r="J286" s="5"/>
      <c r="K286" s="5">
        <f t="shared" si="14"/>
        <v>5.5537275216270867</v>
      </c>
      <c r="L286" s="5">
        <f t="shared" si="15"/>
        <v>5.4561752491729747</v>
      </c>
      <c r="M286" s="5"/>
      <c r="N286" s="6"/>
    </row>
    <row r="287" spans="1:14" x14ac:dyDescent="0.3">
      <c r="A287" s="4">
        <v>5</v>
      </c>
      <c r="B287" s="5">
        <v>60</v>
      </c>
      <c r="C287" s="5">
        <v>15.51</v>
      </c>
      <c r="D287" s="5">
        <v>-2.87</v>
      </c>
      <c r="E287" s="5">
        <v>-2.87</v>
      </c>
      <c r="F287" s="5">
        <v>24</v>
      </c>
      <c r="G287" s="5">
        <v>13.897</v>
      </c>
      <c r="H287" s="5">
        <v>16.638000000000002</v>
      </c>
      <c r="I287" s="5">
        <v>16.734999999999999</v>
      </c>
      <c r="J287" s="5"/>
      <c r="K287" s="5">
        <f t="shared" si="14"/>
        <v>5.4483218082558036</v>
      </c>
      <c r="L287" s="5">
        <f t="shared" si="15"/>
        <v>5.4641806608475179</v>
      </c>
      <c r="M287" s="5"/>
      <c r="N287" s="6"/>
    </row>
    <row r="288" spans="1:14" x14ac:dyDescent="0.3">
      <c r="A288" s="4">
        <v>1</v>
      </c>
      <c r="B288" s="5">
        <v>60</v>
      </c>
      <c r="C288" s="5">
        <v>15.51</v>
      </c>
      <c r="D288" s="5">
        <v>-2.52</v>
      </c>
      <c r="E288" s="5">
        <v>-2.87</v>
      </c>
      <c r="F288" s="5">
        <v>23.85</v>
      </c>
      <c r="G288" s="5">
        <v>13.893000000000001</v>
      </c>
      <c r="H288" s="5">
        <v>26.878</v>
      </c>
      <c r="I288" s="5">
        <v>17.988</v>
      </c>
      <c r="J288" s="5"/>
      <c r="K288" s="5">
        <f t="shared" si="14"/>
        <v>6.9248547165751795</v>
      </c>
      <c r="L288" s="5">
        <f t="shared" si="15"/>
        <v>5.6650484824627041</v>
      </c>
      <c r="M288" s="5">
        <f>AVERAGE(K288:K292)</f>
        <v>6.9829806046634983</v>
      </c>
      <c r="N288" s="6"/>
    </row>
    <row r="289" spans="1:14" x14ac:dyDescent="0.3">
      <c r="A289" s="4">
        <v>2</v>
      </c>
      <c r="B289" s="5">
        <v>60</v>
      </c>
      <c r="C289" s="5">
        <v>15.6</v>
      </c>
      <c r="D289" s="5">
        <v>-2.52</v>
      </c>
      <c r="E289" s="5">
        <v>-2.87</v>
      </c>
      <c r="F289" s="5">
        <v>23.824999999999999</v>
      </c>
      <c r="G289" s="5">
        <v>13.89</v>
      </c>
      <c r="H289" s="5">
        <v>28.033000000000001</v>
      </c>
      <c r="I289" s="5">
        <v>16.084</v>
      </c>
      <c r="J289" s="5"/>
      <c r="K289" s="5">
        <f t="shared" si="14"/>
        <v>7.0720769912778803</v>
      </c>
      <c r="L289" s="5">
        <f t="shared" si="15"/>
        <v>5.3568467697795326</v>
      </c>
      <c r="M289" s="5">
        <f>STDEV(K288:K292)</f>
        <v>6.13707688612911E-2</v>
      </c>
      <c r="N289" s="6"/>
    </row>
    <row r="290" spans="1:14" x14ac:dyDescent="0.3">
      <c r="A290" s="4">
        <v>3</v>
      </c>
      <c r="B290" s="5">
        <v>60</v>
      </c>
      <c r="C290" s="5">
        <v>15.6</v>
      </c>
      <c r="D290" s="5">
        <v>-2.52</v>
      </c>
      <c r="E290" s="5">
        <v>-2.87</v>
      </c>
      <c r="F290" s="5">
        <v>23.875</v>
      </c>
      <c r="G290" s="5">
        <v>13.89</v>
      </c>
      <c r="H290" s="5">
        <v>27.443999999999999</v>
      </c>
      <c r="I290" s="5">
        <v>16.922999999999998</v>
      </c>
      <c r="J290" s="5"/>
      <c r="K290" s="5">
        <f t="shared" si="14"/>
        <v>6.9973870489586947</v>
      </c>
      <c r="L290" s="5">
        <f t="shared" si="15"/>
        <v>5.4947870843725122</v>
      </c>
      <c r="M290" s="5"/>
      <c r="N290" s="6"/>
    </row>
    <row r="291" spans="1:14" x14ac:dyDescent="0.3">
      <c r="A291" s="4">
        <v>4</v>
      </c>
      <c r="B291" s="5">
        <v>60</v>
      </c>
      <c r="C291" s="5">
        <v>15.6</v>
      </c>
      <c r="D291" s="5">
        <v>-2.52</v>
      </c>
      <c r="E291" s="5">
        <v>-2.87</v>
      </c>
      <c r="F291" s="5">
        <v>23.824999999999999</v>
      </c>
      <c r="G291" s="5">
        <v>13.897</v>
      </c>
      <c r="H291" s="5">
        <v>27.431000000000001</v>
      </c>
      <c r="I291" s="5">
        <v>15.701000000000001</v>
      </c>
      <c r="J291" s="5"/>
      <c r="K291" s="5">
        <f t="shared" si="14"/>
        <v>6.9957295499305596</v>
      </c>
      <c r="L291" s="5">
        <f t="shared" si="15"/>
        <v>5.292682575900594</v>
      </c>
      <c r="M291" s="5"/>
      <c r="N291" s="6"/>
    </row>
    <row r="292" spans="1:14" x14ac:dyDescent="0.3">
      <c r="A292" s="4">
        <v>5</v>
      </c>
      <c r="B292" s="5">
        <v>60</v>
      </c>
      <c r="C292" s="5">
        <v>15.6</v>
      </c>
      <c r="D292" s="5">
        <v>-2.52</v>
      </c>
      <c r="E292" s="5">
        <v>-2.87</v>
      </c>
      <c r="F292" s="5">
        <v>23.824999999999999</v>
      </c>
      <c r="G292" s="5">
        <v>13.894</v>
      </c>
      <c r="H292" s="5">
        <v>26.878</v>
      </c>
      <c r="I292" s="5">
        <v>16.206</v>
      </c>
      <c r="J292" s="5"/>
      <c r="K292" s="5">
        <f t="shared" si="14"/>
        <v>6.9248547165751795</v>
      </c>
      <c r="L292" s="5">
        <f t="shared" si="15"/>
        <v>5.3771247071244206</v>
      </c>
      <c r="M292" s="5"/>
      <c r="N292" s="6"/>
    </row>
    <row r="293" spans="1:14" x14ac:dyDescent="0.3">
      <c r="A293" s="4">
        <v>1</v>
      </c>
      <c r="B293" s="5">
        <v>60</v>
      </c>
      <c r="C293" s="5">
        <v>15.51</v>
      </c>
      <c r="D293" s="5">
        <v>-2.13</v>
      </c>
      <c r="E293" s="5">
        <v>-2.87</v>
      </c>
      <c r="F293" s="5">
        <v>23.824999999999999</v>
      </c>
      <c r="G293" s="5">
        <v>13.887</v>
      </c>
      <c r="H293" s="5">
        <v>35.165999999999997</v>
      </c>
      <c r="I293" s="5">
        <v>16.966000000000001</v>
      </c>
      <c r="J293" s="5"/>
      <c r="K293" s="5">
        <f t="shared" si="14"/>
        <v>7.9208844422768632</v>
      </c>
      <c r="L293" s="5">
        <f t="shared" si="15"/>
        <v>5.5017635644725518</v>
      </c>
      <c r="M293" s="5">
        <f>AVERAGE(K293:K297)</f>
        <v>7.9386445965404011</v>
      </c>
      <c r="N293" s="6"/>
    </row>
    <row r="294" spans="1:14" x14ac:dyDescent="0.3">
      <c r="A294" s="4">
        <v>2</v>
      </c>
      <c r="B294" s="5">
        <v>60</v>
      </c>
      <c r="C294" s="5">
        <v>15.6</v>
      </c>
      <c r="D294" s="5">
        <v>-2.13</v>
      </c>
      <c r="E294" s="5">
        <v>-2.87</v>
      </c>
      <c r="F294" s="5">
        <v>23.85</v>
      </c>
      <c r="G294" s="5">
        <v>13.888999999999999</v>
      </c>
      <c r="H294" s="5">
        <v>36.328000000000003</v>
      </c>
      <c r="I294" s="5">
        <v>16.254999999999999</v>
      </c>
      <c r="J294" s="5"/>
      <c r="K294" s="5">
        <f t="shared" si="14"/>
        <v>8.0506868851070035</v>
      </c>
      <c r="L294" s="5">
        <f t="shared" si="15"/>
        <v>5.3852476322505476</v>
      </c>
      <c r="M294" s="5">
        <f>STDEV(K293:K297)</f>
        <v>8.0769935772159449E-2</v>
      </c>
      <c r="N294" s="6"/>
    </row>
    <row r="295" spans="1:14" x14ac:dyDescent="0.3">
      <c r="A295" s="4">
        <v>3</v>
      </c>
      <c r="B295" s="5">
        <v>60</v>
      </c>
      <c r="C295" s="5">
        <v>15.6</v>
      </c>
      <c r="D295" s="5">
        <v>-2.13</v>
      </c>
      <c r="E295" s="5">
        <v>-2.87</v>
      </c>
      <c r="F295" s="5">
        <v>23.824999999999999</v>
      </c>
      <c r="G295" s="5">
        <v>13.891</v>
      </c>
      <c r="H295" s="5">
        <v>35.238999999999997</v>
      </c>
      <c r="I295" s="5">
        <v>16.358000000000001</v>
      </c>
      <c r="J295" s="5"/>
      <c r="K295" s="5">
        <f t="shared" si="14"/>
        <v>7.929101538275436</v>
      </c>
      <c r="L295" s="5">
        <f t="shared" si="15"/>
        <v>5.4022825321012089</v>
      </c>
      <c r="M295" s="5"/>
      <c r="N295" s="6"/>
    </row>
    <row r="296" spans="1:14" x14ac:dyDescent="0.3">
      <c r="A296" s="4">
        <v>4</v>
      </c>
      <c r="B296" s="5">
        <v>60</v>
      </c>
      <c r="C296" s="5">
        <v>15.6</v>
      </c>
      <c r="D296" s="5">
        <v>-2.13</v>
      </c>
      <c r="E296" s="5">
        <v>-2.87</v>
      </c>
      <c r="F296" s="5">
        <v>23.774999999999999</v>
      </c>
      <c r="G296" s="5">
        <v>13.893000000000001</v>
      </c>
      <c r="H296" s="5">
        <v>35.561999999999998</v>
      </c>
      <c r="I296" s="5">
        <v>16.600999999999999</v>
      </c>
      <c r="J296" s="5"/>
      <c r="K296" s="5">
        <f t="shared" si="14"/>
        <v>7.9653576436166738</v>
      </c>
      <c r="L296" s="5">
        <f t="shared" si="15"/>
        <v>5.4422603794256803</v>
      </c>
      <c r="M296" s="5"/>
      <c r="N296" s="6"/>
    </row>
    <row r="297" spans="1:14" x14ac:dyDescent="0.3">
      <c r="A297" s="4">
        <v>5</v>
      </c>
      <c r="B297" s="5">
        <v>60</v>
      </c>
      <c r="C297" s="5">
        <v>15.6</v>
      </c>
      <c r="D297" s="5">
        <v>-2.13</v>
      </c>
      <c r="E297" s="5">
        <v>-2.87</v>
      </c>
      <c r="F297" s="5">
        <v>23.75</v>
      </c>
      <c r="G297" s="5">
        <v>13.891999999999999</v>
      </c>
      <c r="H297" s="5">
        <v>34.338999999999999</v>
      </c>
      <c r="I297" s="5">
        <v>16.059999999999999</v>
      </c>
      <c r="J297" s="5"/>
      <c r="K297" s="5">
        <f t="shared" si="14"/>
        <v>7.8271924734260301</v>
      </c>
      <c r="L297" s="5">
        <f t="shared" si="15"/>
        <v>5.3528486250978009</v>
      </c>
      <c r="M297" s="5"/>
      <c r="N297" s="6"/>
    </row>
    <row r="298" spans="1:14" x14ac:dyDescent="0.3">
      <c r="A298" s="4">
        <v>1</v>
      </c>
      <c r="B298" s="5">
        <v>60</v>
      </c>
      <c r="C298" s="5">
        <v>15.51</v>
      </c>
      <c r="D298" s="5">
        <v>-1.65</v>
      </c>
      <c r="E298" s="5">
        <v>-2.87</v>
      </c>
      <c r="F298" s="5">
        <v>23.85</v>
      </c>
      <c r="G298" s="5">
        <v>13.893000000000001</v>
      </c>
      <c r="H298" s="5">
        <v>38.984999999999999</v>
      </c>
      <c r="I298" s="5">
        <v>15.525</v>
      </c>
      <c r="J298" s="5"/>
      <c r="K298" s="5">
        <f t="shared" si="14"/>
        <v>8.3399022578167887</v>
      </c>
      <c r="L298" s="5">
        <f t="shared" si="15"/>
        <v>5.2629348748467129</v>
      </c>
      <c r="M298" s="5">
        <f>AVERAGE(K298:K302)</f>
        <v>8.3910503163984682</v>
      </c>
      <c r="N298" s="6"/>
    </row>
    <row r="299" spans="1:14" x14ac:dyDescent="0.3">
      <c r="A299" s="4">
        <v>2</v>
      </c>
      <c r="B299" s="5">
        <v>60</v>
      </c>
      <c r="C299" s="5">
        <v>15.43</v>
      </c>
      <c r="D299" s="5">
        <v>-1.65</v>
      </c>
      <c r="E299" s="5">
        <v>-2.87</v>
      </c>
      <c r="F299" s="5">
        <v>23.85</v>
      </c>
      <c r="G299" s="5">
        <v>13.891999999999999</v>
      </c>
      <c r="H299" s="5">
        <v>37.896999999999998</v>
      </c>
      <c r="I299" s="5">
        <v>15.397</v>
      </c>
      <c r="J299" s="5"/>
      <c r="K299" s="5">
        <f t="shared" si="14"/>
        <v>8.2227030636832446</v>
      </c>
      <c r="L299" s="5">
        <f t="shared" si="15"/>
        <v>5.2411941356799421</v>
      </c>
      <c r="M299" s="5">
        <f>STDEV(K298:K302)</f>
        <v>0.11518230506455585</v>
      </c>
      <c r="N299" s="6"/>
    </row>
    <row r="300" spans="1:14" x14ac:dyDescent="0.3">
      <c r="A300" s="4">
        <v>3</v>
      </c>
      <c r="B300" s="5">
        <v>60</v>
      </c>
      <c r="C300" s="5">
        <v>15.43</v>
      </c>
      <c r="D300" s="5">
        <v>-1.65</v>
      </c>
      <c r="E300" s="5">
        <v>-2.87</v>
      </c>
      <c r="F300" s="5">
        <v>23.9</v>
      </c>
      <c r="G300" s="5">
        <v>13.894</v>
      </c>
      <c r="H300" s="5">
        <v>40.743000000000002</v>
      </c>
      <c r="I300" s="5">
        <v>16.649999999999999</v>
      </c>
      <c r="J300" s="5"/>
      <c r="K300" s="5">
        <f t="shared" si="14"/>
        <v>8.5258697474765981</v>
      </c>
      <c r="L300" s="5">
        <f t="shared" si="15"/>
        <v>5.4502862293790395</v>
      </c>
      <c r="M300" s="5"/>
      <c r="N300" s="6"/>
    </row>
    <row r="301" spans="1:14" x14ac:dyDescent="0.3">
      <c r="A301" s="4">
        <v>4</v>
      </c>
      <c r="B301" s="5">
        <v>60</v>
      </c>
      <c r="C301" s="5">
        <v>15.6</v>
      </c>
      <c r="D301" s="5">
        <v>-1.65</v>
      </c>
      <c r="E301" s="5">
        <v>-2.87</v>
      </c>
      <c r="F301" s="5">
        <v>23.95</v>
      </c>
      <c r="G301" s="5">
        <v>13.895</v>
      </c>
      <c r="H301" s="5">
        <v>39.988999999999997</v>
      </c>
      <c r="I301" s="5">
        <v>15.202999999999999</v>
      </c>
      <c r="J301" s="5"/>
      <c r="K301" s="5">
        <f t="shared" si="14"/>
        <v>8.4466104133828921</v>
      </c>
      <c r="L301" s="5">
        <f t="shared" si="15"/>
        <v>5.2080703174743483</v>
      </c>
      <c r="M301" s="5"/>
      <c r="N301" s="6"/>
    </row>
    <row r="302" spans="1:14" x14ac:dyDescent="0.3">
      <c r="A302" s="4">
        <v>5</v>
      </c>
      <c r="B302" s="5">
        <v>60</v>
      </c>
      <c r="C302" s="5">
        <v>15.43</v>
      </c>
      <c r="D302" s="5">
        <v>-1.65</v>
      </c>
      <c r="E302" s="5">
        <v>-2.87</v>
      </c>
      <c r="F302" s="5">
        <v>23.975000000000001</v>
      </c>
      <c r="G302" s="5">
        <v>13.894</v>
      </c>
      <c r="H302" s="5">
        <v>39.738999999999997</v>
      </c>
      <c r="I302" s="5">
        <v>15.932</v>
      </c>
      <c r="J302" s="5"/>
      <c r="K302" s="5">
        <f t="shared" si="14"/>
        <v>8.4201660996328265</v>
      </c>
      <c r="L302" s="5">
        <f t="shared" si="15"/>
        <v>5.331474549711313</v>
      </c>
      <c r="M302" s="5"/>
      <c r="N302" s="6"/>
    </row>
    <row r="303" spans="1:14" x14ac:dyDescent="0.3">
      <c r="A303" s="4">
        <v>1</v>
      </c>
      <c r="B303" s="5">
        <v>60</v>
      </c>
      <c r="C303" s="5">
        <v>15.6</v>
      </c>
      <c r="D303" s="5">
        <v>-0.94</v>
      </c>
      <c r="E303" s="5">
        <v>-2.87</v>
      </c>
      <c r="F303" s="5">
        <v>24</v>
      </c>
      <c r="G303" s="5">
        <v>13.896000000000001</v>
      </c>
      <c r="H303" s="5">
        <v>41.576000000000001</v>
      </c>
      <c r="I303" s="5">
        <v>16.303000000000001</v>
      </c>
      <c r="J303" s="5"/>
      <c r="K303" s="5">
        <f t="shared" si="14"/>
        <v>8.6125854428681716</v>
      </c>
      <c r="L303" s="5">
        <f t="shared" si="15"/>
        <v>5.3931929210841432</v>
      </c>
      <c r="M303" s="5">
        <f>AVERAGE(K303:K307)</f>
        <v>8.5873686490375203</v>
      </c>
      <c r="N303" s="6"/>
    </row>
    <row r="304" spans="1:14" x14ac:dyDescent="0.3">
      <c r="A304" s="4">
        <v>2</v>
      </c>
      <c r="B304" s="5">
        <v>60</v>
      </c>
      <c r="C304" s="5">
        <v>15.6</v>
      </c>
      <c r="D304" s="5">
        <v>-0.94</v>
      </c>
      <c r="E304" s="5">
        <v>-2.87</v>
      </c>
      <c r="F304" s="5">
        <v>24</v>
      </c>
      <c r="G304" s="5">
        <v>13.896000000000001</v>
      </c>
      <c r="H304" s="5">
        <v>41.976999999999997</v>
      </c>
      <c r="I304" s="5">
        <v>16.905000000000001</v>
      </c>
      <c r="J304" s="5"/>
      <c r="K304" s="5">
        <f t="shared" si="14"/>
        <v>8.6540199133191784</v>
      </c>
      <c r="L304" s="5">
        <f t="shared" si="15"/>
        <v>5.4918640659454132</v>
      </c>
      <c r="M304" s="5">
        <f>STDEV(K303:K307)</f>
        <v>4.4909804994665785E-2</v>
      </c>
      <c r="N304" s="6"/>
    </row>
    <row r="305" spans="1:14" x14ac:dyDescent="0.3">
      <c r="A305" s="4">
        <v>3</v>
      </c>
      <c r="B305" s="5">
        <v>60</v>
      </c>
      <c r="C305" s="5">
        <v>15.6</v>
      </c>
      <c r="D305" s="5">
        <v>-0.94</v>
      </c>
      <c r="E305" s="5">
        <v>-2.87</v>
      </c>
      <c r="F305" s="5">
        <v>24</v>
      </c>
      <c r="G305" s="5">
        <v>13.897</v>
      </c>
      <c r="H305" s="5">
        <v>40.936999999999998</v>
      </c>
      <c r="I305" s="5">
        <v>16.613</v>
      </c>
      <c r="J305" s="5"/>
      <c r="K305" s="5">
        <f t="shared" si="14"/>
        <v>8.546143837255789</v>
      </c>
      <c r="L305" s="5">
        <f t="shared" si="15"/>
        <v>5.4442269876732308</v>
      </c>
      <c r="M305" s="5"/>
      <c r="N305" s="6"/>
    </row>
    <row r="306" spans="1:14" x14ac:dyDescent="0.3">
      <c r="A306" s="4">
        <v>4</v>
      </c>
      <c r="B306" s="5">
        <v>60</v>
      </c>
      <c r="C306" s="5">
        <v>15.68</v>
      </c>
      <c r="D306" s="5">
        <v>-0.94</v>
      </c>
      <c r="E306" s="5">
        <v>-2.87</v>
      </c>
      <c r="F306" s="5">
        <v>24</v>
      </c>
      <c r="G306" s="5">
        <v>13.891</v>
      </c>
      <c r="H306" s="5">
        <v>41.107999999999997</v>
      </c>
      <c r="I306" s="5">
        <v>16.922999999999998</v>
      </c>
      <c r="J306" s="5"/>
      <c r="K306" s="5">
        <f t="shared" si="14"/>
        <v>8.5639744997768315</v>
      </c>
      <c r="L306" s="5">
        <f t="shared" si="15"/>
        <v>5.4947870843725122</v>
      </c>
      <c r="M306" s="5"/>
      <c r="N306" s="6"/>
    </row>
    <row r="307" spans="1:14" x14ac:dyDescent="0.3">
      <c r="A307" s="4">
        <v>5</v>
      </c>
      <c r="B307" s="5">
        <v>60</v>
      </c>
      <c r="C307" s="5">
        <v>15.43</v>
      </c>
      <c r="D307" s="5">
        <v>-0.94</v>
      </c>
      <c r="E307" s="5">
        <v>-2.87</v>
      </c>
      <c r="F307" s="5">
        <v>24</v>
      </c>
      <c r="G307" s="5">
        <v>13.891999999999999</v>
      </c>
      <c r="H307" s="5">
        <v>41.070999999999998</v>
      </c>
      <c r="I307" s="5">
        <v>16.515999999999998</v>
      </c>
      <c r="J307" s="5"/>
      <c r="K307" s="5">
        <f t="shared" si="14"/>
        <v>8.5601195519676345</v>
      </c>
      <c r="L307" s="5">
        <f t="shared" si="15"/>
        <v>5.4283098405714938</v>
      </c>
      <c r="M307" s="5"/>
      <c r="N307" s="6"/>
    </row>
    <row r="308" spans="1:14" x14ac:dyDescent="0.3">
      <c r="A308" s="4">
        <v>1</v>
      </c>
      <c r="B308" s="5">
        <v>60</v>
      </c>
      <c r="C308" s="5">
        <v>15.51</v>
      </c>
      <c r="D308" s="5">
        <v>0</v>
      </c>
      <c r="E308" s="5">
        <v>-2.87</v>
      </c>
      <c r="F308" s="5">
        <v>23.975000000000001</v>
      </c>
      <c r="G308" s="5">
        <v>13.898999999999999</v>
      </c>
      <c r="H308" s="5">
        <v>38.978999999999999</v>
      </c>
      <c r="I308" s="5">
        <v>15.598000000000001</v>
      </c>
      <c r="J308" s="5"/>
      <c r="K308" s="5">
        <f t="shared" si="14"/>
        <v>8.3392604553411118</v>
      </c>
      <c r="L308" s="5">
        <f t="shared" si="15"/>
        <v>5.2752937693796751</v>
      </c>
      <c r="M308" s="5">
        <f>AVERAGE(K308:K312)</f>
        <v>8.4287056428042657</v>
      </c>
      <c r="N308" s="6"/>
    </row>
    <row r="309" spans="1:14" x14ac:dyDescent="0.3">
      <c r="A309" s="4">
        <v>2</v>
      </c>
      <c r="B309" s="5">
        <v>60</v>
      </c>
      <c r="C309" s="5">
        <v>15.6</v>
      </c>
      <c r="D309" s="5">
        <v>0</v>
      </c>
      <c r="E309" s="5">
        <v>-2.87</v>
      </c>
      <c r="F309" s="5">
        <v>24</v>
      </c>
      <c r="G309" s="5">
        <v>13.891</v>
      </c>
      <c r="H309" s="5">
        <v>40.433</v>
      </c>
      <c r="I309" s="5">
        <v>17.611000000000001</v>
      </c>
      <c r="J309" s="5"/>
      <c r="K309" s="5">
        <f t="shared" ref="K309:K354" si="16">SQRT(2*(H309)/$N$1)</f>
        <v>8.4933725540364247</v>
      </c>
      <c r="L309" s="5">
        <f t="shared" ref="L309:L354" si="17">SQRT(2*(I309)/$N$1)</f>
        <v>5.6053689058721927</v>
      </c>
      <c r="M309" s="5">
        <f>STDEV(K308:K312)</f>
        <v>9.1502539544467951E-2</v>
      </c>
      <c r="N309" s="6"/>
    </row>
    <row r="310" spans="1:14" x14ac:dyDescent="0.3">
      <c r="A310" s="4">
        <v>3</v>
      </c>
      <c r="B310" s="5">
        <v>60</v>
      </c>
      <c r="C310" s="5">
        <v>15.6</v>
      </c>
      <c r="D310" s="5">
        <v>0</v>
      </c>
      <c r="E310" s="5">
        <v>-2.87</v>
      </c>
      <c r="F310" s="5">
        <v>24</v>
      </c>
      <c r="G310" s="5">
        <v>13.894</v>
      </c>
      <c r="H310" s="5">
        <v>40.414000000000001</v>
      </c>
      <c r="I310" s="5">
        <v>17.361000000000001</v>
      </c>
      <c r="J310" s="5"/>
      <c r="K310" s="5">
        <f t="shared" si="16"/>
        <v>8.4913767456505234</v>
      </c>
      <c r="L310" s="5">
        <f t="shared" si="17"/>
        <v>5.5654407049986956</v>
      </c>
      <c r="M310" s="5"/>
      <c r="N310" s="6"/>
    </row>
    <row r="311" spans="1:14" x14ac:dyDescent="0.3">
      <c r="A311" s="4">
        <v>4</v>
      </c>
      <c r="B311" s="5">
        <v>60</v>
      </c>
      <c r="C311" s="5">
        <v>15.51</v>
      </c>
      <c r="D311" s="5">
        <v>0</v>
      </c>
      <c r="E311" s="5">
        <v>-2.87</v>
      </c>
      <c r="F311" s="5">
        <v>24</v>
      </c>
      <c r="G311" s="5">
        <v>13.897</v>
      </c>
      <c r="H311" s="5">
        <v>40.506</v>
      </c>
      <c r="I311" s="5">
        <v>16.466999999999999</v>
      </c>
      <c r="J311" s="5"/>
      <c r="K311" s="5">
        <f t="shared" si="16"/>
        <v>8.5010363014186368</v>
      </c>
      <c r="L311" s="5">
        <f t="shared" si="17"/>
        <v>5.4202514499378234</v>
      </c>
      <c r="M311" s="5"/>
      <c r="N311" s="6"/>
    </row>
    <row r="312" spans="1:14" x14ac:dyDescent="0.3">
      <c r="A312" s="4">
        <v>5</v>
      </c>
      <c r="B312" s="5">
        <v>60</v>
      </c>
      <c r="C312" s="5">
        <v>15.51</v>
      </c>
      <c r="D312" s="5">
        <v>0</v>
      </c>
      <c r="E312" s="5">
        <v>-2.87</v>
      </c>
      <c r="F312" s="5">
        <v>24</v>
      </c>
      <c r="G312" s="5">
        <v>13.893000000000001</v>
      </c>
      <c r="H312" s="5">
        <v>38.784999999999997</v>
      </c>
      <c r="I312" s="5">
        <v>15.707000000000001</v>
      </c>
      <c r="J312" s="5"/>
      <c r="K312" s="5">
        <f t="shared" si="16"/>
        <v>8.3184821575746373</v>
      </c>
      <c r="L312" s="5">
        <f t="shared" si="17"/>
        <v>5.2936937555135586</v>
      </c>
      <c r="M312" s="5"/>
      <c r="N312" s="6"/>
    </row>
    <row r="313" spans="1:14" x14ac:dyDescent="0.3">
      <c r="A313" s="4">
        <v>1</v>
      </c>
      <c r="B313" s="5">
        <v>60</v>
      </c>
      <c r="C313" s="5">
        <v>15.51</v>
      </c>
      <c r="D313" s="5">
        <v>0.94</v>
      </c>
      <c r="E313" s="5">
        <v>-2.87</v>
      </c>
      <c r="F313" s="5">
        <v>24</v>
      </c>
      <c r="G313" s="5">
        <v>13.897</v>
      </c>
      <c r="H313" s="5">
        <v>38.505000000000003</v>
      </c>
      <c r="I313" s="5">
        <v>16.218</v>
      </c>
      <c r="J313" s="5"/>
      <c r="K313" s="5">
        <f t="shared" si="16"/>
        <v>8.2884010180623893</v>
      </c>
      <c r="L313" s="5">
        <f t="shared" si="17"/>
        <v>5.3791151290719634</v>
      </c>
      <c r="M313" s="5">
        <f>AVERAGE(K313:K317)</f>
        <v>8.3006641917704123</v>
      </c>
      <c r="N313" s="6"/>
    </row>
    <row r="314" spans="1:14" x14ac:dyDescent="0.3">
      <c r="A314" s="4">
        <v>2</v>
      </c>
      <c r="B314" s="5">
        <v>60</v>
      </c>
      <c r="C314" s="5">
        <v>15.51</v>
      </c>
      <c r="D314" s="5">
        <v>0.94</v>
      </c>
      <c r="E314" s="5">
        <v>-2.87</v>
      </c>
      <c r="F314" s="5">
        <v>24</v>
      </c>
      <c r="G314" s="5">
        <v>13.893000000000001</v>
      </c>
      <c r="H314" s="5">
        <v>38.790999999999997</v>
      </c>
      <c r="I314" s="5">
        <v>16.413</v>
      </c>
      <c r="J314" s="5"/>
      <c r="K314" s="5">
        <f t="shared" si="16"/>
        <v>8.3191255630510277</v>
      </c>
      <c r="L314" s="5">
        <f t="shared" si="17"/>
        <v>5.4113568750600427</v>
      </c>
      <c r="M314" s="5">
        <f>STDEV(K313:K317)</f>
        <v>1.9750520583353949E-2</v>
      </c>
      <c r="N314" s="6"/>
    </row>
    <row r="315" spans="1:14" x14ac:dyDescent="0.3">
      <c r="A315" s="4">
        <v>3</v>
      </c>
      <c r="B315" s="5">
        <v>60</v>
      </c>
      <c r="C315" s="5">
        <v>15.6</v>
      </c>
      <c r="D315" s="5">
        <v>0.94</v>
      </c>
      <c r="E315" s="5">
        <v>-2.87</v>
      </c>
      <c r="F315" s="5">
        <v>24</v>
      </c>
      <c r="G315" s="5">
        <v>13.895</v>
      </c>
      <c r="H315" s="5">
        <v>38.505000000000003</v>
      </c>
      <c r="I315" s="5">
        <v>16.466999999999999</v>
      </c>
      <c r="J315" s="5"/>
      <c r="K315" s="5">
        <f t="shared" si="16"/>
        <v>8.2884010180623893</v>
      </c>
      <c r="L315" s="5">
        <f t="shared" si="17"/>
        <v>5.4202514499378234</v>
      </c>
      <c r="M315" s="5"/>
      <c r="N315" s="6"/>
    </row>
    <row r="316" spans="1:14" x14ac:dyDescent="0.3">
      <c r="A316" s="4">
        <v>4</v>
      </c>
      <c r="B316" s="5">
        <v>60</v>
      </c>
      <c r="C316" s="5">
        <v>15.43</v>
      </c>
      <c r="D316" s="5">
        <v>0.94</v>
      </c>
      <c r="E316" s="5">
        <v>-2.87</v>
      </c>
      <c r="F316" s="5">
        <v>24</v>
      </c>
      <c r="G316" s="5">
        <v>13.895</v>
      </c>
      <c r="H316" s="5">
        <v>38.844999999999999</v>
      </c>
      <c r="I316" s="5">
        <v>16.710999999999999</v>
      </c>
      <c r="J316" s="5"/>
      <c r="K316" s="5">
        <f t="shared" si="16"/>
        <v>8.32491397463677</v>
      </c>
      <c r="L316" s="5">
        <f t="shared" si="17"/>
        <v>5.4602611093879041</v>
      </c>
      <c r="M316" s="5"/>
      <c r="N316" s="6"/>
    </row>
    <row r="317" spans="1:14" x14ac:dyDescent="0.3">
      <c r="A317" s="4">
        <v>5</v>
      </c>
      <c r="B317" s="5">
        <v>60</v>
      </c>
      <c r="C317" s="5">
        <v>15.51</v>
      </c>
      <c r="D317" s="5">
        <v>0.94</v>
      </c>
      <c r="E317" s="5">
        <v>-2.87</v>
      </c>
      <c r="F317" s="5">
        <v>24</v>
      </c>
      <c r="G317" s="5">
        <v>13.897</v>
      </c>
      <c r="H317" s="5">
        <v>38.450000000000003</v>
      </c>
      <c r="I317" s="5">
        <v>16.03</v>
      </c>
      <c r="J317" s="5"/>
      <c r="K317" s="5">
        <f t="shared" si="16"/>
        <v>8.282479385039478</v>
      </c>
      <c r="L317" s="5">
        <f t="shared" si="17"/>
        <v>5.3478467408485004</v>
      </c>
      <c r="M317" s="5"/>
      <c r="N317" s="6"/>
    </row>
    <row r="318" spans="1:14" x14ac:dyDescent="0.3">
      <c r="A318" s="4">
        <v>1</v>
      </c>
      <c r="B318" s="5">
        <v>60</v>
      </c>
      <c r="C318" s="5">
        <v>15.34</v>
      </c>
      <c r="D318" s="5">
        <v>1.65</v>
      </c>
      <c r="E318" s="5">
        <v>-2.87</v>
      </c>
      <c r="F318" s="5">
        <v>23.925000000000001</v>
      </c>
      <c r="G318" s="5">
        <v>13.891</v>
      </c>
      <c r="H318" s="5">
        <v>35.057000000000002</v>
      </c>
      <c r="I318" s="5">
        <v>16.527999999999999</v>
      </c>
      <c r="J318" s="5"/>
      <c r="K318" s="5">
        <f t="shared" si="16"/>
        <v>7.9085991884780986</v>
      </c>
      <c r="L318" s="5">
        <f t="shared" si="17"/>
        <v>5.4302815010907413</v>
      </c>
      <c r="M318" s="5">
        <f>AVERAGE(K318:K322)</f>
        <v>7.9641962921381806</v>
      </c>
      <c r="N318" s="6"/>
    </row>
    <row r="319" spans="1:14" x14ac:dyDescent="0.3">
      <c r="A319" s="4">
        <v>2</v>
      </c>
      <c r="B319" s="5">
        <v>60</v>
      </c>
      <c r="C319" s="5">
        <v>15.43</v>
      </c>
      <c r="D319" s="5">
        <v>1.65</v>
      </c>
      <c r="E319" s="5">
        <v>-2.87</v>
      </c>
      <c r="F319" s="5">
        <v>23.9</v>
      </c>
      <c r="G319" s="5">
        <v>13.887</v>
      </c>
      <c r="H319" s="5">
        <v>36.51</v>
      </c>
      <c r="I319" s="5">
        <v>16.741</v>
      </c>
      <c r="J319" s="5"/>
      <c r="K319" s="5">
        <f t="shared" si="16"/>
        <v>8.0708282971650043</v>
      </c>
      <c r="L319" s="5">
        <f t="shared" si="17"/>
        <v>5.4651601094845805</v>
      </c>
      <c r="M319" s="5">
        <f>STDEV(K318:K322)</f>
        <v>9.4083968914934951E-2</v>
      </c>
      <c r="N319" s="6"/>
    </row>
    <row r="320" spans="1:14" x14ac:dyDescent="0.3">
      <c r="A320" s="4">
        <v>3</v>
      </c>
      <c r="B320" s="5">
        <v>60</v>
      </c>
      <c r="C320" s="5">
        <v>15.51</v>
      </c>
      <c r="D320" s="5">
        <v>1.65</v>
      </c>
      <c r="E320" s="5">
        <v>-2.87</v>
      </c>
      <c r="F320" s="5">
        <v>23.975000000000001</v>
      </c>
      <c r="G320" s="5">
        <v>13.893000000000001</v>
      </c>
      <c r="H320" s="5">
        <v>36.006</v>
      </c>
      <c r="I320" s="5">
        <v>16.454999999999998</v>
      </c>
      <c r="J320" s="5"/>
      <c r="K320" s="5">
        <f t="shared" si="16"/>
        <v>8.0149280880687552</v>
      </c>
      <c r="L320" s="5">
        <f t="shared" si="17"/>
        <v>5.4182761395770589</v>
      </c>
      <c r="M320" s="5"/>
      <c r="N320" s="6"/>
    </row>
    <row r="321" spans="1:14" x14ac:dyDescent="0.3">
      <c r="A321" s="4">
        <v>4</v>
      </c>
      <c r="B321" s="5">
        <v>60</v>
      </c>
      <c r="C321" s="5">
        <v>15.51</v>
      </c>
      <c r="D321" s="5">
        <v>1.65</v>
      </c>
      <c r="E321" s="5">
        <v>-2.87</v>
      </c>
      <c r="F321" s="5">
        <v>24</v>
      </c>
      <c r="G321" s="5">
        <v>13.888999999999999</v>
      </c>
      <c r="H321" s="5">
        <v>35.823</v>
      </c>
      <c r="I321" s="5">
        <v>16.218</v>
      </c>
      <c r="J321" s="5"/>
      <c r="K321" s="5">
        <f t="shared" si="16"/>
        <v>7.9945342613130226</v>
      </c>
      <c r="L321" s="5">
        <f t="shared" si="17"/>
        <v>5.3791151290719634</v>
      </c>
      <c r="M321" s="5"/>
      <c r="N321" s="6"/>
    </row>
    <row r="322" spans="1:14" x14ac:dyDescent="0.3">
      <c r="A322" s="4">
        <v>5</v>
      </c>
      <c r="B322" s="5">
        <v>60</v>
      </c>
      <c r="C322" s="5">
        <v>15.51</v>
      </c>
      <c r="D322" s="5">
        <v>1.65</v>
      </c>
      <c r="E322" s="5">
        <v>-2.87</v>
      </c>
      <c r="F322" s="5">
        <v>24</v>
      </c>
      <c r="G322" s="5">
        <v>13.888999999999999</v>
      </c>
      <c r="H322" s="5">
        <v>34.381999999999998</v>
      </c>
      <c r="I322" s="5">
        <v>16.399999999999999</v>
      </c>
      <c r="J322" s="5"/>
      <c r="K322" s="5">
        <f t="shared" si="16"/>
        <v>7.8320916256660222</v>
      </c>
      <c r="L322" s="5">
        <f t="shared" si="17"/>
        <v>5.409213404192549</v>
      </c>
      <c r="M322" s="5"/>
      <c r="N322" s="6"/>
    </row>
    <row r="323" spans="1:14" x14ac:dyDescent="0.3">
      <c r="A323" s="4">
        <v>1</v>
      </c>
      <c r="B323" s="5">
        <v>60</v>
      </c>
      <c r="C323" s="5">
        <v>15.34</v>
      </c>
      <c r="D323" s="5">
        <v>2.13</v>
      </c>
      <c r="E323" s="5">
        <v>-2.87</v>
      </c>
      <c r="F323" s="5">
        <v>24.2</v>
      </c>
      <c r="G323" s="5">
        <v>13.897</v>
      </c>
      <c r="H323" s="5">
        <v>30.428999999999998</v>
      </c>
      <c r="I323" s="5">
        <v>16.399999999999999</v>
      </c>
      <c r="J323" s="5"/>
      <c r="K323" s="5">
        <f t="shared" si="16"/>
        <v>7.3681088247853976</v>
      </c>
      <c r="L323" s="5">
        <f t="shared" si="17"/>
        <v>5.409213404192549</v>
      </c>
      <c r="M323" s="5">
        <f>AVERAGE(K323:K327)</f>
        <v>7.3258989431126569</v>
      </c>
      <c r="N323" s="6"/>
    </row>
    <row r="324" spans="1:14" x14ac:dyDescent="0.3">
      <c r="A324" s="4">
        <v>2</v>
      </c>
      <c r="B324" s="5">
        <v>60</v>
      </c>
      <c r="C324" s="5">
        <v>15.43</v>
      </c>
      <c r="D324" s="5">
        <v>2.13</v>
      </c>
      <c r="E324" s="5">
        <v>-2.87</v>
      </c>
      <c r="F324" s="5">
        <v>24.15</v>
      </c>
      <c r="G324" s="5">
        <v>13.891</v>
      </c>
      <c r="H324" s="5">
        <v>30.106999999999999</v>
      </c>
      <c r="I324" s="5">
        <v>17.172999999999998</v>
      </c>
      <c r="J324" s="5"/>
      <c r="K324" s="5">
        <f t="shared" si="16"/>
        <v>7.3290204385552125</v>
      </c>
      <c r="L324" s="5">
        <f t="shared" si="17"/>
        <v>5.5352249667605573</v>
      </c>
      <c r="M324" s="5">
        <f>STDEV(K323:K327)</f>
        <v>9.0101297267253938E-2</v>
      </c>
      <c r="N324" s="6"/>
    </row>
    <row r="325" spans="1:14" x14ac:dyDescent="0.3">
      <c r="A325" s="4">
        <v>3</v>
      </c>
      <c r="B325" s="5">
        <v>60</v>
      </c>
      <c r="C325" s="5">
        <v>15.51</v>
      </c>
      <c r="D325" s="5">
        <v>2.13</v>
      </c>
      <c r="E325" s="5">
        <v>-2.87</v>
      </c>
      <c r="F325" s="5">
        <v>24.125</v>
      </c>
      <c r="G325" s="5">
        <v>13.9</v>
      </c>
      <c r="H325" s="5">
        <v>31.103999999999999</v>
      </c>
      <c r="I325" s="5">
        <v>16.777000000000001</v>
      </c>
      <c r="J325" s="5"/>
      <c r="K325" s="5">
        <f t="shared" si="16"/>
        <v>7.4493831654069895</v>
      </c>
      <c r="L325" s="5">
        <f t="shared" si="17"/>
        <v>5.4710331190580916</v>
      </c>
      <c r="M325" s="5"/>
      <c r="N325" s="6"/>
    </row>
    <row r="326" spans="1:14" x14ac:dyDescent="0.3">
      <c r="A326" s="4">
        <v>4</v>
      </c>
      <c r="B326" s="5">
        <v>60</v>
      </c>
      <c r="C326" s="5">
        <v>15.34</v>
      </c>
      <c r="D326" s="5">
        <v>2.13</v>
      </c>
      <c r="E326" s="5">
        <v>-2.87</v>
      </c>
      <c r="F326" s="5">
        <v>24.074999999999999</v>
      </c>
      <c r="G326" s="5">
        <v>13.894</v>
      </c>
      <c r="H326" s="5">
        <v>29.59</v>
      </c>
      <c r="I326" s="5">
        <v>15.92</v>
      </c>
      <c r="J326" s="5"/>
      <c r="K326" s="5">
        <f t="shared" si="16"/>
        <v>7.2658206602001201</v>
      </c>
      <c r="L326" s="5">
        <f t="shared" si="17"/>
        <v>5.3294663352324925</v>
      </c>
      <c r="M326" s="5"/>
      <c r="N326" s="6"/>
    </row>
    <row r="327" spans="1:14" x14ac:dyDescent="0.3">
      <c r="A327" s="4">
        <v>5</v>
      </c>
      <c r="B327" s="5">
        <v>60</v>
      </c>
      <c r="C327" s="5">
        <v>15.6</v>
      </c>
      <c r="D327" s="5">
        <v>2.13</v>
      </c>
      <c r="E327" s="5">
        <v>-2.87</v>
      </c>
      <c r="F327" s="5">
        <v>24.1</v>
      </c>
      <c r="G327" s="5">
        <v>13.894</v>
      </c>
      <c r="H327" s="5">
        <v>29.195</v>
      </c>
      <c r="I327" s="5">
        <v>15.907999999999999</v>
      </c>
      <c r="J327" s="5"/>
      <c r="K327" s="5">
        <f t="shared" si="16"/>
        <v>7.2171616266155656</v>
      </c>
      <c r="L327" s="5">
        <f t="shared" si="17"/>
        <v>5.3274573637461851</v>
      </c>
      <c r="M327" s="5"/>
      <c r="N327" s="6"/>
    </row>
    <row r="328" spans="1:14" x14ac:dyDescent="0.3">
      <c r="A328" s="4">
        <v>1</v>
      </c>
      <c r="B328" s="5">
        <v>60</v>
      </c>
      <c r="C328" s="5">
        <v>15.43</v>
      </c>
      <c r="D328" s="5">
        <v>2.52</v>
      </c>
      <c r="E328" s="5">
        <v>-2.87</v>
      </c>
      <c r="F328" s="5">
        <v>24.1</v>
      </c>
      <c r="G328" s="5">
        <v>13.894</v>
      </c>
      <c r="H328" s="5">
        <v>25.145</v>
      </c>
      <c r="I328" s="5">
        <v>15.932</v>
      </c>
      <c r="J328" s="5"/>
      <c r="K328" s="5">
        <f t="shared" si="16"/>
        <v>6.6978900108676491</v>
      </c>
      <c r="L328" s="5">
        <f t="shared" si="17"/>
        <v>5.331474549711313</v>
      </c>
      <c r="M328" s="5">
        <f>AVERAGE(K328:K332)</f>
        <v>6.6096451687169449</v>
      </c>
      <c r="N328" s="6"/>
    </row>
    <row r="329" spans="1:14" x14ac:dyDescent="0.3">
      <c r="A329" s="4">
        <v>2</v>
      </c>
      <c r="B329" s="5">
        <v>60</v>
      </c>
      <c r="C329" s="5">
        <v>15.51</v>
      </c>
      <c r="D329" s="5">
        <v>2.52</v>
      </c>
      <c r="E329" s="5">
        <v>-2.87</v>
      </c>
      <c r="F329" s="5">
        <v>24.074999999999999</v>
      </c>
      <c r="G329" s="5">
        <v>13.893000000000001</v>
      </c>
      <c r="H329" s="5">
        <v>24.184000000000001</v>
      </c>
      <c r="I329" s="5">
        <v>16.358000000000001</v>
      </c>
      <c r="J329" s="5"/>
      <c r="K329" s="5">
        <f t="shared" si="16"/>
        <v>6.5686520694066761</v>
      </c>
      <c r="L329" s="5">
        <f t="shared" si="17"/>
        <v>5.4022825321012089</v>
      </c>
      <c r="M329" s="5">
        <f>STDEV(K328:K332)</f>
        <v>5.601850360965123E-2</v>
      </c>
      <c r="N329" s="6"/>
    </row>
    <row r="330" spans="1:14" x14ac:dyDescent="0.3">
      <c r="A330" s="4">
        <v>3</v>
      </c>
      <c r="B330" s="5">
        <v>60</v>
      </c>
      <c r="C330" s="5">
        <v>15.51</v>
      </c>
      <c r="D330" s="5">
        <v>2.52</v>
      </c>
      <c r="E330" s="5">
        <v>-2.87</v>
      </c>
      <c r="F330" s="5">
        <v>24.074999999999999</v>
      </c>
      <c r="G330" s="5">
        <v>13.894</v>
      </c>
      <c r="H330" s="5">
        <v>24.616</v>
      </c>
      <c r="I330" s="5">
        <v>16.492000000000001</v>
      </c>
      <c r="J330" s="5"/>
      <c r="K330" s="5">
        <f t="shared" si="16"/>
        <v>6.6270604659432912</v>
      </c>
      <c r="L330" s="5">
        <f t="shared" si="17"/>
        <v>5.4243643695422348</v>
      </c>
      <c r="M330" s="5"/>
      <c r="N330" s="6"/>
    </row>
    <row r="331" spans="1:14" x14ac:dyDescent="0.3">
      <c r="A331" s="4">
        <v>4</v>
      </c>
      <c r="B331" s="5">
        <v>60</v>
      </c>
      <c r="C331" s="5">
        <v>15.51</v>
      </c>
      <c r="D331" s="5">
        <v>2.52</v>
      </c>
      <c r="E331" s="5">
        <v>-2.87</v>
      </c>
      <c r="F331" s="5">
        <v>24.05</v>
      </c>
      <c r="G331" s="5">
        <v>13.89</v>
      </c>
      <c r="H331" s="5">
        <v>24.385000000000002</v>
      </c>
      <c r="I331" s="5">
        <v>16.765000000000001</v>
      </c>
      <c r="J331" s="5"/>
      <c r="K331" s="5">
        <f t="shared" si="16"/>
        <v>6.5958925396257646</v>
      </c>
      <c r="L331" s="5">
        <f t="shared" si="17"/>
        <v>5.4690761499532545</v>
      </c>
      <c r="M331" s="5"/>
      <c r="N331" s="6"/>
    </row>
    <row r="332" spans="1:14" x14ac:dyDescent="0.3">
      <c r="A332" s="4">
        <v>5</v>
      </c>
      <c r="B332" s="5">
        <v>60</v>
      </c>
      <c r="C332" s="5">
        <v>15.51</v>
      </c>
      <c r="D332" s="5">
        <v>2.52</v>
      </c>
      <c r="E332" s="5">
        <v>-2.87</v>
      </c>
      <c r="F332" s="5">
        <v>24.074999999999999</v>
      </c>
      <c r="G332" s="5">
        <v>13.894</v>
      </c>
      <c r="H332" s="5">
        <v>24.111000000000001</v>
      </c>
      <c r="I332" s="5">
        <v>16.936</v>
      </c>
      <c r="J332" s="5"/>
      <c r="K332" s="5">
        <f t="shared" si="16"/>
        <v>6.5587307577413458</v>
      </c>
      <c r="L332" s="5">
        <f t="shared" si="17"/>
        <v>5.4968971865726415</v>
      </c>
      <c r="M332" s="5"/>
      <c r="N332" s="6"/>
    </row>
    <row r="333" spans="1:14" x14ac:dyDescent="0.3">
      <c r="A333" s="4">
        <v>1</v>
      </c>
      <c r="B333" s="5">
        <v>60</v>
      </c>
      <c r="C333" s="5">
        <v>15.43</v>
      </c>
      <c r="D333" s="5">
        <v>2.87</v>
      </c>
      <c r="E333" s="5">
        <v>-2.87</v>
      </c>
      <c r="F333" s="5">
        <v>24</v>
      </c>
      <c r="G333" s="5">
        <v>13.891999999999999</v>
      </c>
      <c r="H333" s="5">
        <v>16.297000000000001</v>
      </c>
      <c r="I333" s="5">
        <v>17.062999999999999</v>
      </c>
      <c r="J333" s="5"/>
      <c r="K333" s="5">
        <f t="shared" si="16"/>
        <v>5.3922004002179502</v>
      </c>
      <c r="L333" s="5">
        <f t="shared" si="17"/>
        <v>5.5174688116401658</v>
      </c>
      <c r="M333" s="5">
        <f>AVERAGE(K333:K337)</f>
        <v>5.437603270554435</v>
      </c>
      <c r="N333" s="6"/>
    </row>
    <row r="334" spans="1:14" x14ac:dyDescent="0.3">
      <c r="A334" s="4">
        <v>2</v>
      </c>
      <c r="B334" s="5">
        <v>60</v>
      </c>
      <c r="C334" s="5">
        <v>15.43</v>
      </c>
      <c r="D334" s="5">
        <v>2.87</v>
      </c>
      <c r="E334" s="5">
        <v>-2.87</v>
      </c>
      <c r="F334" s="5">
        <v>24.125</v>
      </c>
      <c r="G334" s="5">
        <v>13.897</v>
      </c>
      <c r="H334" s="5">
        <v>16.437000000000001</v>
      </c>
      <c r="I334" s="5">
        <v>16.777000000000001</v>
      </c>
      <c r="J334" s="5"/>
      <c r="K334" s="5">
        <f t="shared" si="16"/>
        <v>5.4153118230574302</v>
      </c>
      <c r="L334" s="5">
        <f t="shared" si="17"/>
        <v>5.4710331190580916</v>
      </c>
      <c r="M334" s="5">
        <f>STDEV(K333:K337)</f>
        <v>3.6574185215035117E-2</v>
      </c>
      <c r="N334" s="6"/>
    </row>
    <row r="335" spans="1:14" x14ac:dyDescent="0.3">
      <c r="A335" s="4">
        <v>3</v>
      </c>
      <c r="B335" s="5">
        <v>60</v>
      </c>
      <c r="C335" s="5">
        <v>15.51</v>
      </c>
      <c r="D335" s="5">
        <v>2.87</v>
      </c>
      <c r="E335" s="5">
        <v>-2.87</v>
      </c>
      <c r="F335" s="5">
        <v>24.175000000000001</v>
      </c>
      <c r="G335" s="5">
        <v>13.901</v>
      </c>
      <c r="H335" s="5">
        <v>16.814</v>
      </c>
      <c r="I335" s="5">
        <v>16.393999999999998</v>
      </c>
      <c r="J335" s="5"/>
      <c r="K335" s="5">
        <f t="shared" si="16"/>
        <v>5.4770627053813934</v>
      </c>
      <c r="L335" s="5">
        <f t="shared" si="17"/>
        <v>5.4082238234169671</v>
      </c>
      <c r="M335" s="5"/>
      <c r="N335" s="6"/>
    </row>
    <row r="336" spans="1:14" x14ac:dyDescent="0.3">
      <c r="A336" s="4">
        <v>4</v>
      </c>
      <c r="B336" s="5">
        <v>60</v>
      </c>
      <c r="C336" s="5">
        <v>15.6</v>
      </c>
      <c r="D336" s="5">
        <v>2.87</v>
      </c>
      <c r="E336" s="5">
        <v>-2.87</v>
      </c>
      <c r="F336" s="5">
        <v>24.175000000000001</v>
      </c>
      <c r="G336" s="5">
        <v>13.9</v>
      </c>
      <c r="H336" s="5">
        <v>16.783999999999999</v>
      </c>
      <c r="I336" s="5">
        <v>15.683</v>
      </c>
      <c r="J336" s="5"/>
      <c r="K336" s="5">
        <f t="shared" si="16"/>
        <v>5.4721743611723719</v>
      </c>
      <c r="L336" s="5">
        <f t="shared" si="17"/>
        <v>5.2896478772671864</v>
      </c>
      <c r="M336" s="5"/>
      <c r="N336" s="6"/>
    </row>
    <row r="337" spans="1:14" ht="15" thickBot="1" x14ac:dyDescent="0.35">
      <c r="A337" s="7">
        <v>5</v>
      </c>
      <c r="B337" s="8">
        <v>60</v>
      </c>
      <c r="C337" s="8">
        <v>15.51</v>
      </c>
      <c r="D337" s="8">
        <v>2.87</v>
      </c>
      <c r="E337" s="8">
        <v>-2.87</v>
      </c>
      <c r="F337" s="8">
        <v>24.074999999999999</v>
      </c>
      <c r="G337" s="8">
        <v>13.893000000000001</v>
      </c>
      <c r="H337" s="8">
        <v>16.533999999999999</v>
      </c>
      <c r="I337" s="8">
        <v>16.765000000000001</v>
      </c>
      <c r="J337" s="8"/>
      <c r="K337" s="8">
        <f t="shared" si="16"/>
        <v>5.4312670629430304</v>
      </c>
      <c r="L337" s="8">
        <f t="shared" si="17"/>
        <v>5.4690761499532545</v>
      </c>
      <c r="M337" s="8"/>
      <c r="N337" s="9"/>
    </row>
    <row r="338" spans="1:14" x14ac:dyDescent="0.3">
      <c r="A338" s="1">
        <v>1</v>
      </c>
      <c r="B338" s="2">
        <v>40</v>
      </c>
      <c r="C338" s="2">
        <v>10.91</v>
      </c>
      <c r="D338" s="2">
        <v>-2.87</v>
      </c>
      <c r="E338" s="2">
        <v>-2.87</v>
      </c>
      <c r="F338" s="2">
        <v>24.125</v>
      </c>
      <c r="G338" s="2">
        <v>13.887</v>
      </c>
      <c r="H338" s="2">
        <v>6.8529999999999998</v>
      </c>
      <c r="I338" s="2">
        <v>8.4589999999999996</v>
      </c>
      <c r="J338" s="2"/>
      <c r="K338" s="2">
        <f t="shared" si="16"/>
        <v>3.4966531723451957</v>
      </c>
      <c r="L338" s="2">
        <f t="shared" si="17"/>
        <v>3.8848271838001835</v>
      </c>
      <c r="M338" s="2">
        <f>AVERAGE(K338:K342)</f>
        <v>3.521172896839917</v>
      </c>
      <c r="N338" s="3"/>
    </row>
    <row r="339" spans="1:14" x14ac:dyDescent="0.3">
      <c r="A339" s="4">
        <v>2</v>
      </c>
      <c r="B339" s="5">
        <v>40</v>
      </c>
      <c r="C339" s="5">
        <v>10.91</v>
      </c>
      <c r="D339" s="5">
        <v>-2.87</v>
      </c>
      <c r="E339" s="5">
        <v>-2.87</v>
      </c>
      <c r="F339" s="5">
        <v>24.125</v>
      </c>
      <c r="G339" s="5">
        <v>13.888999999999999</v>
      </c>
      <c r="H339" s="5">
        <v>6.47</v>
      </c>
      <c r="I339" s="5">
        <v>8.1669999999999998</v>
      </c>
      <c r="J339" s="5"/>
      <c r="K339" s="5">
        <f t="shared" si="16"/>
        <v>3.3975380707235727</v>
      </c>
      <c r="L339" s="5">
        <f t="shared" si="17"/>
        <v>3.8171872920358427</v>
      </c>
      <c r="M339" s="5">
        <f>STDEV(K338:K342)</f>
        <v>8.6459137694028729E-2</v>
      </c>
      <c r="N339" s="6"/>
    </row>
    <row r="340" spans="1:14" x14ac:dyDescent="0.3">
      <c r="A340" s="4">
        <v>3</v>
      </c>
      <c r="B340" s="5">
        <v>40</v>
      </c>
      <c r="C340" s="5">
        <v>10.91</v>
      </c>
      <c r="D340" s="5">
        <v>-2.87</v>
      </c>
      <c r="E340" s="5">
        <v>-2.87</v>
      </c>
      <c r="F340" s="5">
        <v>24.175000000000001</v>
      </c>
      <c r="G340" s="5">
        <v>13.891</v>
      </c>
      <c r="H340" s="5">
        <v>7.37</v>
      </c>
      <c r="I340" s="5">
        <v>8.0760000000000005</v>
      </c>
      <c r="J340" s="5"/>
      <c r="K340" s="5">
        <f t="shared" si="16"/>
        <v>3.6261514213061838</v>
      </c>
      <c r="L340" s="5">
        <f t="shared" si="17"/>
        <v>3.7958614018872185</v>
      </c>
      <c r="M340" s="5"/>
      <c r="N340" s="6"/>
    </row>
    <row r="341" spans="1:14" x14ac:dyDescent="0.3">
      <c r="A341" s="4">
        <v>4</v>
      </c>
      <c r="B341" s="5">
        <v>40</v>
      </c>
      <c r="C341" s="5">
        <v>10.79</v>
      </c>
      <c r="D341" s="5">
        <v>-2.87</v>
      </c>
      <c r="E341" s="5">
        <v>-2.87</v>
      </c>
      <c r="F341" s="5">
        <v>24.15</v>
      </c>
      <c r="G341" s="5">
        <v>13.891999999999999</v>
      </c>
      <c r="H341" s="5">
        <v>7.1630000000000003</v>
      </c>
      <c r="I341" s="5">
        <v>7.68</v>
      </c>
      <c r="J341" s="5"/>
      <c r="K341" s="5">
        <f t="shared" si="16"/>
        <v>3.5748651746533255</v>
      </c>
      <c r="L341" s="5">
        <f t="shared" si="17"/>
        <v>3.7016282551761308</v>
      </c>
      <c r="M341" s="5"/>
      <c r="N341" s="6"/>
    </row>
    <row r="342" spans="1:14" x14ac:dyDescent="0.3">
      <c r="A342" s="4">
        <v>5</v>
      </c>
      <c r="B342" s="5">
        <v>40</v>
      </c>
      <c r="C342" s="5">
        <v>10.91</v>
      </c>
      <c r="D342" s="5">
        <v>-2.87</v>
      </c>
      <c r="E342" s="5">
        <v>-2.87</v>
      </c>
      <c r="F342" s="5">
        <v>24.1</v>
      </c>
      <c r="G342" s="5">
        <v>13.891999999999999</v>
      </c>
      <c r="H342" s="5">
        <v>6.9080000000000004</v>
      </c>
      <c r="I342" s="5">
        <v>7.8019999999999996</v>
      </c>
      <c r="J342" s="5"/>
      <c r="K342" s="5">
        <f t="shared" si="16"/>
        <v>3.5106566451713075</v>
      </c>
      <c r="L342" s="5">
        <f t="shared" si="17"/>
        <v>3.7309133654627735</v>
      </c>
      <c r="M342" s="5"/>
      <c r="N342" s="6"/>
    </row>
    <row r="343" spans="1:14" x14ac:dyDescent="0.3">
      <c r="A343" s="4">
        <v>1</v>
      </c>
      <c r="B343" s="5">
        <v>40</v>
      </c>
      <c r="C343" s="5">
        <v>10.91</v>
      </c>
      <c r="D343" s="5">
        <v>-2.52</v>
      </c>
      <c r="E343" s="5">
        <v>-2.87</v>
      </c>
      <c r="F343" s="5">
        <v>24</v>
      </c>
      <c r="G343" s="5">
        <v>13.898</v>
      </c>
      <c r="H343" s="5">
        <v>10.569000000000001</v>
      </c>
      <c r="I343" s="5">
        <v>7.8259999999999996</v>
      </c>
      <c r="J343" s="5"/>
      <c r="K343" s="5">
        <f t="shared" si="16"/>
        <v>4.3423931459184919</v>
      </c>
      <c r="L343" s="5">
        <f t="shared" si="17"/>
        <v>3.7366473545512364</v>
      </c>
      <c r="M343" s="5">
        <f>AVERAGE(K343:K347)</f>
        <v>4.4594257843440888</v>
      </c>
      <c r="N343" s="6"/>
    </row>
    <row r="344" spans="1:14" x14ac:dyDescent="0.3">
      <c r="A344" s="4">
        <v>2</v>
      </c>
      <c r="B344" s="5">
        <v>40</v>
      </c>
      <c r="C344" s="5">
        <v>10.91</v>
      </c>
      <c r="D344" s="5">
        <v>-2.52</v>
      </c>
      <c r="E344" s="5">
        <v>-2.87</v>
      </c>
      <c r="F344" s="5">
        <v>24</v>
      </c>
      <c r="G344" s="5">
        <v>13.894</v>
      </c>
      <c r="H344" s="5">
        <v>11.055</v>
      </c>
      <c r="I344" s="5">
        <v>7.4859999999999998</v>
      </c>
      <c r="J344" s="5"/>
      <c r="K344" s="5">
        <f t="shared" si="16"/>
        <v>4.4411103561340699</v>
      </c>
      <c r="L344" s="5">
        <f t="shared" si="17"/>
        <v>3.6545768843177768</v>
      </c>
      <c r="M344" s="5">
        <f>STDEV(K343:K347)</f>
        <v>7.6569195763272979E-2</v>
      </c>
      <c r="N344" s="6"/>
    </row>
    <row r="345" spans="1:14" x14ac:dyDescent="0.3">
      <c r="A345" s="4">
        <v>3</v>
      </c>
      <c r="B345" s="5">
        <v>40</v>
      </c>
      <c r="C345" s="5">
        <v>10.91</v>
      </c>
      <c r="D345" s="5">
        <v>-2.52</v>
      </c>
      <c r="E345" s="5">
        <v>-2.87</v>
      </c>
      <c r="F345" s="5">
        <v>24</v>
      </c>
      <c r="G345" s="5">
        <v>13.891999999999999</v>
      </c>
      <c r="H345" s="5">
        <v>11.226000000000001</v>
      </c>
      <c r="I345" s="5">
        <v>7.9969999999999999</v>
      </c>
      <c r="J345" s="5"/>
      <c r="K345" s="5">
        <f t="shared" si="16"/>
        <v>4.4753263502368181</v>
      </c>
      <c r="L345" s="5">
        <f t="shared" si="17"/>
        <v>3.7772500841270049</v>
      </c>
      <c r="M345" s="5"/>
      <c r="N345" s="6"/>
    </row>
    <row r="346" spans="1:14" x14ac:dyDescent="0.3">
      <c r="A346" s="4">
        <v>4</v>
      </c>
      <c r="B346" s="5">
        <v>40</v>
      </c>
      <c r="C346" s="5">
        <v>10.79</v>
      </c>
      <c r="D346" s="5">
        <v>-2.52</v>
      </c>
      <c r="E346" s="5">
        <v>-2.87</v>
      </c>
      <c r="F346" s="5">
        <v>24</v>
      </c>
      <c r="G346" s="5">
        <v>13.894</v>
      </c>
      <c r="H346" s="5">
        <v>11.609</v>
      </c>
      <c r="I346" s="5">
        <v>8.0510000000000002</v>
      </c>
      <c r="J346" s="5"/>
      <c r="K346" s="5">
        <f t="shared" si="16"/>
        <v>4.5510289393476349</v>
      </c>
      <c r="L346" s="5">
        <f t="shared" si="17"/>
        <v>3.789981629154811</v>
      </c>
      <c r="M346" s="5"/>
      <c r="N346" s="6"/>
    </row>
    <row r="347" spans="1:14" x14ac:dyDescent="0.3">
      <c r="A347" s="4">
        <v>5</v>
      </c>
      <c r="B347" s="5">
        <v>40</v>
      </c>
      <c r="C347" s="5">
        <v>10.91</v>
      </c>
      <c r="D347" s="5">
        <v>-2.52</v>
      </c>
      <c r="E347" s="5">
        <v>-2.87</v>
      </c>
      <c r="F347" s="5">
        <v>24</v>
      </c>
      <c r="G347" s="5">
        <v>13.891</v>
      </c>
      <c r="H347" s="5">
        <v>11.286</v>
      </c>
      <c r="I347" s="5">
        <v>8.1609999999999996</v>
      </c>
      <c r="J347" s="5"/>
      <c r="K347" s="5">
        <f t="shared" si="16"/>
        <v>4.4872701300834326</v>
      </c>
      <c r="L347" s="5">
        <f t="shared" si="17"/>
        <v>3.815784859574558</v>
      </c>
      <c r="M347" s="5"/>
      <c r="N347" s="6"/>
    </row>
    <row r="348" spans="1:14" x14ac:dyDescent="0.3">
      <c r="A348" s="4">
        <v>1</v>
      </c>
      <c r="B348" s="5">
        <v>40</v>
      </c>
      <c r="C348" s="5">
        <v>10.91</v>
      </c>
      <c r="D348" s="5">
        <v>-2.13</v>
      </c>
      <c r="E348" s="5">
        <v>-2.87</v>
      </c>
      <c r="F348" s="5">
        <v>24.024999999999999</v>
      </c>
      <c r="G348" s="5">
        <v>13.898</v>
      </c>
      <c r="H348" s="5">
        <v>14.71</v>
      </c>
      <c r="I348" s="5">
        <v>8.1609999999999996</v>
      </c>
      <c r="J348" s="5"/>
      <c r="K348" s="5">
        <f t="shared" si="16"/>
        <v>5.1229312527960218</v>
      </c>
      <c r="L348" s="5">
        <f t="shared" si="17"/>
        <v>3.815784859574558</v>
      </c>
      <c r="M348" s="5">
        <f>AVERAGE(K348:K352)</f>
        <v>5.1642092134787294</v>
      </c>
      <c r="N348" s="6"/>
    </row>
    <row r="349" spans="1:14" x14ac:dyDescent="0.3">
      <c r="A349" s="4">
        <v>2</v>
      </c>
      <c r="B349" s="5">
        <v>40</v>
      </c>
      <c r="C349" s="5">
        <v>10.91</v>
      </c>
      <c r="D349" s="5">
        <v>-2.13</v>
      </c>
      <c r="E349" s="5">
        <v>-2.87</v>
      </c>
      <c r="F349" s="5">
        <v>24.1</v>
      </c>
      <c r="G349" s="5">
        <v>13.89</v>
      </c>
      <c r="H349" s="5">
        <v>15.02</v>
      </c>
      <c r="I349" s="5">
        <v>8.1240000000000006</v>
      </c>
      <c r="J349" s="5"/>
      <c r="K349" s="5">
        <f t="shared" si="16"/>
        <v>5.1766303934269491</v>
      </c>
      <c r="L349" s="5">
        <f t="shared" si="17"/>
        <v>3.8071251103305221</v>
      </c>
      <c r="M349" s="5">
        <f>STDEV(K348:K352)</f>
        <v>2.9629863380895519E-2</v>
      </c>
      <c r="N349" s="6"/>
    </row>
    <row r="350" spans="1:14" x14ac:dyDescent="0.3">
      <c r="A350" s="4">
        <v>3</v>
      </c>
      <c r="B350" s="5">
        <v>40</v>
      </c>
      <c r="C350" s="5">
        <v>10.79</v>
      </c>
      <c r="D350" s="5">
        <v>-2.13</v>
      </c>
      <c r="E350" s="5">
        <v>-2.87</v>
      </c>
      <c r="F350" s="5">
        <v>24.024999999999999</v>
      </c>
      <c r="G350" s="5">
        <v>13.897</v>
      </c>
      <c r="H350" s="5">
        <v>15.16</v>
      </c>
      <c r="I350" s="5">
        <v>8.0879999999999992</v>
      </c>
      <c r="J350" s="5"/>
      <c r="K350" s="5">
        <f t="shared" si="16"/>
        <v>5.2006998774190594</v>
      </c>
      <c r="L350" s="5">
        <f t="shared" si="17"/>
        <v>3.7986804601308855</v>
      </c>
      <c r="M350" s="5"/>
      <c r="N350" s="6"/>
    </row>
    <row r="351" spans="1:14" x14ac:dyDescent="0.3">
      <c r="A351" s="4">
        <v>4</v>
      </c>
      <c r="B351" s="5">
        <v>40</v>
      </c>
      <c r="C351" s="5">
        <v>10.79</v>
      </c>
      <c r="D351" s="5">
        <v>-2.13</v>
      </c>
      <c r="E351" s="5">
        <v>-2.87</v>
      </c>
      <c r="F351" s="5">
        <v>24.05</v>
      </c>
      <c r="G351" s="5">
        <v>13.895</v>
      </c>
      <c r="H351" s="5">
        <v>14.996</v>
      </c>
      <c r="I351" s="5">
        <v>8.44</v>
      </c>
      <c r="J351" s="5"/>
      <c r="K351" s="5">
        <f t="shared" si="16"/>
        <v>5.1724929500643748</v>
      </c>
      <c r="L351" s="5">
        <f t="shared" si="17"/>
        <v>3.8804618208285615</v>
      </c>
      <c r="M351" s="5"/>
      <c r="N351" s="6"/>
    </row>
    <row r="352" spans="1:14" x14ac:dyDescent="0.3">
      <c r="A352" s="4">
        <v>5</v>
      </c>
      <c r="B352" s="5">
        <v>40</v>
      </c>
      <c r="C352" s="5">
        <v>10.79</v>
      </c>
      <c r="D352" s="5">
        <v>-2.13</v>
      </c>
      <c r="E352" s="5">
        <v>-2.87</v>
      </c>
      <c r="F352" s="5">
        <v>24.05</v>
      </c>
      <c r="G352" s="5">
        <v>13.896000000000001</v>
      </c>
      <c r="H352" s="5">
        <v>14.856</v>
      </c>
      <c r="I352" s="5">
        <v>8.3130000000000006</v>
      </c>
      <c r="J352" s="5"/>
      <c r="K352" s="5">
        <f t="shared" si="16"/>
        <v>5.1482915936872384</v>
      </c>
      <c r="L352" s="5">
        <f t="shared" si="17"/>
        <v>3.851155740194935</v>
      </c>
      <c r="M352" s="5"/>
      <c r="N352" s="6"/>
    </row>
    <row r="353" spans="1:14" x14ac:dyDescent="0.3">
      <c r="A353" s="4">
        <v>1</v>
      </c>
      <c r="B353" s="5">
        <v>40</v>
      </c>
      <c r="C353" s="5">
        <v>10.91</v>
      </c>
      <c r="D353" s="5">
        <v>-1.65</v>
      </c>
      <c r="E353" s="5">
        <v>-2.87</v>
      </c>
      <c r="F353" s="5">
        <v>24</v>
      </c>
      <c r="G353" s="5">
        <v>13.891</v>
      </c>
      <c r="H353" s="5">
        <v>17.524999999999999</v>
      </c>
      <c r="I353" s="5">
        <v>7.6989999999999998</v>
      </c>
      <c r="J353" s="5"/>
      <c r="K353" s="5">
        <f t="shared" si="16"/>
        <v>5.5916657748275105</v>
      </c>
      <c r="L353" s="5">
        <f t="shared" si="17"/>
        <v>3.7062042637451911</v>
      </c>
      <c r="M353" s="5">
        <f>AVERAGE(K353:K357)</f>
        <v>5.6326647511673729</v>
      </c>
      <c r="N353" s="6"/>
    </row>
    <row r="354" spans="1:14" x14ac:dyDescent="0.3">
      <c r="A354" s="4">
        <v>2</v>
      </c>
      <c r="B354" s="5">
        <v>40</v>
      </c>
      <c r="C354" s="5">
        <v>10.91</v>
      </c>
      <c r="D354" s="5">
        <v>-1.65</v>
      </c>
      <c r="E354" s="5">
        <v>-2.87</v>
      </c>
      <c r="F354" s="5">
        <v>24</v>
      </c>
      <c r="G354" s="5">
        <v>13.897</v>
      </c>
      <c r="H354" s="5">
        <v>17.792999999999999</v>
      </c>
      <c r="I354" s="5">
        <v>8.0510000000000002</v>
      </c>
      <c r="J354" s="5"/>
      <c r="K354" s="5">
        <f t="shared" si="16"/>
        <v>5.6342586603034368</v>
      </c>
      <c r="L354" s="5">
        <f t="shared" si="17"/>
        <v>3.789981629154811</v>
      </c>
      <c r="M354" s="5">
        <f>STDEV(K353:K357)</f>
        <v>2.4342946165842615E-2</v>
      </c>
      <c r="N354" s="6"/>
    </row>
    <row r="355" spans="1:14" x14ac:dyDescent="0.3">
      <c r="A355" s="4">
        <v>3</v>
      </c>
      <c r="B355" s="5">
        <v>40</v>
      </c>
      <c r="C355" s="5">
        <v>10.91</v>
      </c>
      <c r="D355" s="5">
        <v>-1.65</v>
      </c>
      <c r="E355" s="5">
        <v>-2.87</v>
      </c>
      <c r="F355" s="5">
        <v>24</v>
      </c>
      <c r="G355" s="5">
        <v>13.891999999999999</v>
      </c>
      <c r="H355" s="5">
        <v>17.927</v>
      </c>
      <c r="I355" s="5">
        <v>8.2759999999999998</v>
      </c>
      <c r="J355" s="5"/>
      <c r="K355" s="5">
        <f t="shared" ref="K355:K390" si="18">SQRT(2*(H355)/$N$1)</f>
        <v>5.6554348115876776</v>
      </c>
      <c r="L355" s="5">
        <f t="shared" ref="L355:L390" si="19">SQRT(2*(I355)/$N$1)</f>
        <v>3.8425757047047431</v>
      </c>
      <c r="M355" s="5"/>
      <c r="N355" s="6"/>
    </row>
    <row r="356" spans="1:14" x14ac:dyDescent="0.3">
      <c r="A356" s="4">
        <v>4</v>
      </c>
      <c r="B356" s="5">
        <v>40</v>
      </c>
      <c r="C356" s="5">
        <v>10.79</v>
      </c>
      <c r="D356" s="5">
        <v>-1.65</v>
      </c>
      <c r="E356" s="5">
        <v>-2.87</v>
      </c>
      <c r="F356" s="5">
        <v>24</v>
      </c>
      <c r="G356" s="5">
        <v>13.897</v>
      </c>
      <c r="H356" s="5">
        <v>17.811</v>
      </c>
      <c r="I356" s="5">
        <v>8.0939999999999994</v>
      </c>
      <c r="J356" s="5"/>
      <c r="K356" s="5">
        <f t="shared" si="18"/>
        <v>5.6371078431203339</v>
      </c>
      <c r="L356" s="5">
        <f t="shared" si="19"/>
        <v>3.8000892050189683</v>
      </c>
      <c r="M356" s="5"/>
      <c r="N356" s="6"/>
    </row>
    <row r="357" spans="1:14" x14ac:dyDescent="0.3">
      <c r="A357" s="4">
        <v>5</v>
      </c>
      <c r="B357" s="5">
        <v>40</v>
      </c>
      <c r="C357" s="5">
        <v>10.91</v>
      </c>
      <c r="D357" s="5">
        <v>-1.65</v>
      </c>
      <c r="E357" s="5">
        <v>-2.87</v>
      </c>
      <c r="F357" s="5">
        <v>24.05</v>
      </c>
      <c r="G357" s="5">
        <v>13.887</v>
      </c>
      <c r="H357" s="5">
        <v>17.86</v>
      </c>
      <c r="I357" s="5">
        <v>7.7779999999999996</v>
      </c>
      <c r="J357" s="5"/>
      <c r="K357" s="5">
        <f t="shared" si="18"/>
        <v>5.6448566659979083</v>
      </c>
      <c r="L357" s="5">
        <f t="shared" si="19"/>
        <v>3.7251705503107861</v>
      </c>
      <c r="M357" s="5"/>
      <c r="N357" s="6"/>
    </row>
    <row r="358" spans="1:14" x14ac:dyDescent="0.3">
      <c r="A358" s="4">
        <v>1</v>
      </c>
      <c r="B358" s="5">
        <v>40</v>
      </c>
      <c r="C358" s="5">
        <v>10.91</v>
      </c>
      <c r="D358" s="5">
        <v>-0.94</v>
      </c>
      <c r="E358" s="5">
        <v>-2.87</v>
      </c>
      <c r="F358" s="5">
        <v>24.074999999999999</v>
      </c>
      <c r="G358" s="5">
        <v>13.891</v>
      </c>
      <c r="H358" s="5">
        <v>18.352</v>
      </c>
      <c r="I358" s="5">
        <v>7.9050000000000002</v>
      </c>
      <c r="J358" s="5"/>
      <c r="K358" s="5">
        <f t="shared" si="18"/>
        <v>5.7220795580998267</v>
      </c>
      <c r="L358" s="5">
        <f t="shared" si="19"/>
        <v>3.7554598968135031</v>
      </c>
      <c r="M358" s="5">
        <f>AVERAGE(K358:K362)</f>
        <v>5.6879948062761709</v>
      </c>
      <c r="N358" s="6"/>
    </row>
    <row r="359" spans="1:14" x14ac:dyDescent="0.3">
      <c r="A359" s="4">
        <v>2</v>
      </c>
      <c r="B359" s="5">
        <v>40</v>
      </c>
      <c r="C359" s="5">
        <v>10.91</v>
      </c>
      <c r="D359" s="5">
        <v>-0.94</v>
      </c>
      <c r="E359" s="5">
        <v>-2.87</v>
      </c>
      <c r="F359" s="5">
        <v>24</v>
      </c>
      <c r="G359" s="5">
        <v>13.893000000000001</v>
      </c>
      <c r="H359" s="5">
        <v>18.248999999999999</v>
      </c>
      <c r="I359" s="5">
        <v>8.2279999999999998</v>
      </c>
      <c r="J359" s="5"/>
      <c r="K359" s="5">
        <f t="shared" si="18"/>
        <v>5.70599947189256</v>
      </c>
      <c r="L359" s="5">
        <f t="shared" si="19"/>
        <v>3.8314162163637566</v>
      </c>
      <c r="M359" s="5">
        <f>STDEV(K358:K362)</f>
        <v>4.1809123420689306E-2</v>
      </c>
      <c r="N359" s="6"/>
    </row>
    <row r="360" spans="1:14" x14ac:dyDescent="0.3">
      <c r="A360" s="4">
        <v>3</v>
      </c>
      <c r="B360" s="5">
        <v>40</v>
      </c>
      <c r="C360" s="5">
        <v>10.91</v>
      </c>
      <c r="D360" s="5">
        <v>-0.94</v>
      </c>
      <c r="E360" s="5">
        <v>-2.87</v>
      </c>
      <c r="F360" s="5">
        <v>24</v>
      </c>
      <c r="G360" s="5">
        <v>13.896000000000001</v>
      </c>
      <c r="H360" s="5">
        <v>17.86</v>
      </c>
      <c r="I360" s="5">
        <v>7.2910000000000004</v>
      </c>
      <c r="J360" s="5"/>
      <c r="K360" s="5">
        <f t="shared" si="18"/>
        <v>5.6448566659979083</v>
      </c>
      <c r="L360" s="5">
        <f t="shared" si="19"/>
        <v>3.6066644626220947</v>
      </c>
      <c r="M360" s="5"/>
      <c r="N360" s="6"/>
    </row>
    <row r="361" spans="1:14" x14ac:dyDescent="0.3">
      <c r="A361" s="4">
        <v>4</v>
      </c>
      <c r="B361" s="5">
        <v>40</v>
      </c>
      <c r="C361" s="5">
        <v>10.79</v>
      </c>
      <c r="D361" s="5">
        <v>-0.94</v>
      </c>
      <c r="E361" s="5">
        <v>-2.87</v>
      </c>
      <c r="F361" s="5">
        <v>23.975000000000001</v>
      </c>
      <c r="G361" s="5">
        <v>13.897</v>
      </c>
      <c r="H361" s="5">
        <v>17.835999999999999</v>
      </c>
      <c r="I361" s="5">
        <v>8.1609999999999996</v>
      </c>
      <c r="J361" s="5"/>
      <c r="K361" s="5">
        <f t="shared" si="18"/>
        <v>5.6410626541437221</v>
      </c>
      <c r="L361" s="5">
        <f t="shared" si="19"/>
        <v>3.815784859574558</v>
      </c>
      <c r="M361" s="5"/>
      <c r="N361" s="6"/>
    </row>
    <row r="362" spans="1:14" x14ac:dyDescent="0.3">
      <c r="A362" s="4">
        <v>5</v>
      </c>
      <c r="B362" s="5">
        <v>40</v>
      </c>
      <c r="C362" s="5">
        <v>10.91</v>
      </c>
      <c r="D362" s="5">
        <v>-0.94</v>
      </c>
      <c r="E362" s="5">
        <v>-2.87</v>
      </c>
      <c r="F362" s="5">
        <v>23.975000000000001</v>
      </c>
      <c r="G362" s="5">
        <v>13.891999999999999</v>
      </c>
      <c r="H362" s="5">
        <v>18.376999999999999</v>
      </c>
      <c r="I362" s="5">
        <v>8.3800000000000008</v>
      </c>
      <c r="J362" s="5"/>
      <c r="K362" s="5">
        <f t="shared" si="18"/>
        <v>5.7259756812468341</v>
      </c>
      <c r="L362" s="5">
        <f t="shared" si="19"/>
        <v>3.8666441087450929</v>
      </c>
      <c r="M362" s="5"/>
      <c r="N362" s="6"/>
    </row>
    <row r="363" spans="1:14" x14ac:dyDescent="0.3">
      <c r="A363" s="4">
        <v>1</v>
      </c>
      <c r="B363" s="5">
        <v>40</v>
      </c>
      <c r="C363" s="5">
        <v>10.91</v>
      </c>
      <c r="D363" s="5">
        <v>0</v>
      </c>
      <c r="E363" s="5">
        <v>-2.87</v>
      </c>
      <c r="F363" s="5">
        <v>23.75</v>
      </c>
      <c r="G363" s="5">
        <v>13.893000000000001</v>
      </c>
      <c r="H363" s="5">
        <v>16.942</v>
      </c>
      <c r="I363" s="5">
        <v>8.0690000000000008</v>
      </c>
      <c r="J363" s="5"/>
      <c r="K363" s="5">
        <f t="shared" si="18"/>
        <v>5.4978708067461648</v>
      </c>
      <c r="L363" s="5">
        <f t="shared" si="19"/>
        <v>3.7942159839808083</v>
      </c>
      <c r="M363" s="5">
        <f>AVERAGE(K363:K367)</f>
        <v>5.5425882366387889</v>
      </c>
      <c r="N363" s="6"/>
    </row>
    <row r="364" spans="1:14" x14ac:dyDescent="0.3">
      <c r="A364" s="4">
        <v>2</v>
      </c>
      <c r="B364" s="5">
        <v>40</v>
      </c>
      <c r="C364" s="5">
        <v>10.91</v>
      </c>
      <c r="D364" s="5">
        <v>0</v>
      </c>
      <c r="E364" s="5">
        <v>-2.87</v>
      </c>
      <c r="F364" s="5">
        <v>23.75</v>
      </c>
      <c r="G364" s="5">
        <v>13.9</v>
      </c>
      <c r="H364" s="5">
        <v>16.753</v>
      </c>
      <c r="I364" s="5">
        <v>7.9240000000000004</v>
      </c>
      <c r="J364" s="5"/>
      <c r="K364" s="5">
        <f t="shared" si="18"/>
        <v>5.4671184803463433</v>
      </c>
      <c r="L364" s="5">
        <f t="shared" si="19"/>
        <v>3.7599703910615085</v>
      </c>
      <c r="M364" s="5">
        <f>STDEV(K363:K367)</f>
        <v>5.7463010260126839E-2</v>
      </c>
      <c r="N364" s="6"/>
    </row>
    <row r="365" spans="1:14" x14ac:dyDescent="0.3">
      <c r="A365" s="4">
        <v>3</v>
      </c>
      <c r="B365" s="5">
        <v>40</v>
      </c>
      <c r="C365" s="5">
        <v>10.91</v>
      </c>
      <c r="D365" s="5">
        <v>0</v>
      </c>
      <c r="E365" s="5">
        <v>-2.87</v>
      </c>
      <c r="F365" s="5">
        <v>23.75</v>
      </c>
      <c r="G365" s="5">
        <v>13.894</v>
      </c>
      <c r="H365" s="5">
        <v>17.343</v>
      </c>
      <c r="I365" s="5">
        <v>8.1669999999999998</v>
      </c>
      <c r="J365" s="5"/>
      <c r="K365" s="5">
        <f t="shared" si="18"/>
        <v>5.5625548138505465</v>
      </c>
      <c r="L365" s="5">
        <f t="shared" si="19"/>
        <v>3.8171872920358427</v>
      </c>
      <c r="M365" s="5"/>
      <c r="N365" s="6"/>
    </row>
    <row r="366" spans="1:14" x14ac:dyDescent="0.3">
      <c r="A366" s="4">
        <v>4</v>
      </c>
      <c r="B366" s="5">
        <v>40</v>
      </c>
      <c r="C366" s="5">
        <v>10.91</v>
      </c>
      <c r="D366" s="5">
        <v>0</v>
      </c>
      <c r="E366" s="5">
        <v>-2.87</v>
      </c>
      <c r="F366" s="5">
        <v>23.75</v>
      </c>
      <c r="G366" s="5">
        <v>13.894</v>
      </c>
      <c r="H366" s="5">
        <v>17.574000000000002</v>
      </c>
      <c r="I366" s="5">
        <v>8.4649999999999999</v>
      </c>
      <c r="J366" s="5"/>
      <c r="K366" s="5">
        <f t="shared" si="18"/>
        <v>5.5994774829504923</v>
      </c>
      <c r="L366" s="5">
        <f t="shared" si="19"/>
        <v>3.8862047007220761</v>
      </c>
      <c r="M366" s="5"/>
      <c r="N366" s="6"/>
    </row>
    <row r="367" spans="1:14" x14ac:dyDescent="0.3">
      <c r="A367" s="4">
        <v>5</v>
      </c>
      <c r="B367" s="5">
        <v>40</v>
      </c>
      <c r="C367" s="5">
        <v>10.91</v>
      </c>
      <c r="D367" s="5">
        <v>0</v>
      </c>
      <c r="E367" s="5">
        <v>-2.87</v>
      </c>
      <c r="F367" s="5">
        <v>23.7</v>
      </c>
      <c r="G367" s="5">
        <v>13.891999999999999</v>
      </c>
      <c r="H367" s="5">
        <v>17.489000000000001</v>
      </c>
      <c r="I367" s="5">
        <v>8.3919999999999995</v>
      </c>
      <c r="J367" s="5"/>
      <c r="K367" s="5">
        <f t="shared" si="18"/>
        <v>5.5859195993004009</v>
      </c>
      <c r="L367" s="5">
        <f t="shared" si="19"/>
        <v>3.8694115986201476</v>
      </c>
      <c r="M367" s="5"/>
      <c r="N367" s="6"/>
    </row>
    <row r="368" spans="1:14" x14ac:dyDescent="0.3">
      <c r="A368" s="4">
        <v>1</v>
      </c>
      <c r="B368" s="5">
        <v>40</v>
      </c>
      <c r="C368" s="5">
        <v>10.66</v>
      </c>
      <c r="D368" s="5">
        <v>0.94</v>
      </c>
      <c r="E368" s="5">
        <v>-2.87</v>
      </c>
      <c r="F368" s="5">
        <v>24</v>
      </c>
      <c r="G368" s="5">
        <v>13.891999999999999</v>
      </c>
      <c r="H368" s="5">
        <v>17.215</v>
      </c>
      <c r="I368" s="5">
        <v>7.8689999999999998</v>
      </c>
      <c r="J368" s="5"/>
      <c r="K368" s="5">
        <f t="shared" si="18"/>
        <v>5.5419895820995464</v>
      </c>
      <c r="L368" s="5">
        <f t="shared" si="19"/>
        <v>3.7468988068862354</v>
      </c>
      <c r="M368" s="5">
        <f>AVERAGE(K368:K372)</f>
        <v>5.5757422788244737</v>
      </c>
      <c r="N368" s="6"/>
    </row>
    <row r="369" spans="1:14" x14ac:dyDescent="0.3">
      <c r="A369" s="4">
        <v>2</v>
      </c>
      <c r="B369" s="5">
        <v>40</v>
      </c>
      <c r="C369" s="5">
        <v>10.79</v>
      </c>
      <c r="D369" s="5">
        <v>0.94</v>
      </c>
      <c r="E369" s="5">
        <v>-2.87</v>
      </c>
      <c r="F369" s="5">
        <v>23.975000000000001</v>
      </c>
      <c r="G369" s="5">
        <v>13.896000000000001</v>
      </c>
      <c r="H369" s="5">
        <v>17.707999999999998</v>
      </c>
      <c r="I369" s="5">
        <v>8.4280000000000008</v>
      </c>
      <c r="J369" s="5"/>
      <c r="K369" s="5">
        <f t="shared" si="18"/>
        <v>5.6207846728889237</v>
      </c>
      <c r="L369" s="5">
        <f t="shared" si="19"/>
        <v>3.8777022174304618</v>
      </c>
      <c r="M369" s="5">
        <f>STDEV(K368:K372)</f>
        <v>3.2391019932794723E-2</v>
      </c>
      <c r="N369" s="6"/>
    </row>
    <row r="370" spans="1:14" x14ac:dyDescent="0.3">
      <c r="A370" s="4">
        <v>3</v>
      </c>
      <c r="B370" s="5">
        <v>40</v>
      </c>
      <c r="C370" s="5">
        <v>10.79</v>
      </c>
      <c r="D370" s="5">
        <v>0.94</v>
      </c>
      <c r="E370" s="5">
        <v>-2.87</v>
      </c>
      <c r="F370" s="5">
        <v>23.925000000000001</v>
      </c>
      <c r="G370" s="5">
        <v>13.895</v>
      </c>
      <c r="H370" s="5">
        <v>17.562000000000001</v>
      </c>
      <c r="I370" s="5">
        <v>8.2029999999999994</v>
      </c>
      <c r="J370" s="5"/>
      <c r="K370" s="5">
        <f t="shared" si="18"/>
        <v>5.5975654195575588</v>
      </c>
      <c r="L370" s="5">
        <f t="shared" si="19"/>
        <v>3.8255910902772814</v>
      </c>
      <c r="M370" s="5"/>
      <c r="N370" s="6"/>
    </row>
    <row r="371" spans="1:14" x14ac:dyDescent="0.3">
      <c r="A371" s="4">
        <v>4</v>
      </c>
      <c r="B371" s="5">
        <v>40</v>
      </c>
      <c r="C371" s="5">
        <v>10.91</v>
      </c>
      <c r="D371" s="5">
        <v>0.94</v>
      </c>
      <c r="E371" s="5">
        <v>-2.87</v>
      </c>
      <c r="F371" s="5">
        <v>24</v>
      </c>
      <c r="G371" s="5">
        <v>13.891</v>
      </c>
      <c r="H371" s="5">
        <v>17.312999999999999</v>
      </c>
      <c r="I371" s="5">
        <v>7.8869999999999996</v>
      </c>
      <c r="J371" s="5"/>
      <c r="K371" s="5">
        <f t="shared" si="18"/>
        <v>5.557741665234575</v>
      </c>
      <c r="L371" s="5">
        <f t="shared" si="19"/>
        <v>3.7511817941563419</v>
      </c>
      <c r="M371" s="5"/>
      <c r="N371" s="6"/>
    </row>
    <row r="372" spans="1:14" x14ac:dyDescent="0.3">
      <c r="A372" s="4">
        <v>5</v>
      </c>
      <c r="B372" s="5">
        <v>40</v>
      </c>
      <c r="C372" s="5">
        <v>10.79</v>
      </c>
      <c r="D372" s="5">
        <v>0.94</v>
      </c>
      <c r="E372" s="5">
        <v>-2.87</v>
      </c>
      <c r="F372" s="5">
        <v>23.975000000000001</v>
      </c>
      <c r="G372" s="5">
        <v>13.897</v>
      </c>
      <c r="H372" s="5">
        <v>17.331</v>
      </c>
      <c r="I372" s="5">
        <v>8.0150000000000006</v>
      </c>
      <c r="J372" s="5"/>
      <c r="K372" s="5">
        <f t="shared" si="18"/>
        <v>5.5606300543417637</v>
      </c>
      <c r="L372" s="5">
        <f t="shared" si="19"/>
        <v>3.781498695200352</v>
      </c>
      <c r="M372" s="5"/>
      <c r="N372" s="6"/>
    </row>
    <row r="373" spans="1:14" x14ac:dyDescent="0.3">
      <c r="A373" s="4">
        <v>1</v>
      </c>
      <c r="B373" s="5">
        <v>40</v>
      </c>
      <c r="C373" s="5">
        <v>10.91</v>
      </c>
      <c r="D373" s="5">
        <v>1.65</v>
      </c>
      <c r="E373" s="5">
        <v>-2.87</v>
      </c>
      <c r="F373" s="5">
        <v>24</v>
      </c>
      <c r="G373" s="5">
        <v>13.891</v>
      </c>
      <c r="H373" s="5">
        <v>16.163</v>
      </c>
      <c r="I373" s="5">
        <v>7.8869999999999996</v>
      </c>
      <c r="J373" s="5"/>
      <c r="K373" s="5">
        <f t="shared" si="18"/>
        <v>5.3699863034459545</v>
      </c>
      <c r="L373" s="5">
        <f t="shared" si="19"/>
        <v>3.7511817941563419</v>
      </c>
      <c r="M373" s="5">
        <f>AVERAGE(K373:K377)</f>
        <v>5.3021301110617127</v>
      </c>
      <c r="N373" s="6"/>
    </row>
    <row r="374" spans="1:14" x14ac:dyDescent="0.3">
      <c r="A374" s="4">
        <v>2</v>
      </c>
      <c r="B374" s="5">
        <v>40</v>
      </c>
      <c r="C374" s="5">
        <v>10.66</v>
      </c>
      <c r="D374" s="5">
        <v>1.65</v>
      </c>
      <c r="E374" s="5">
        <v>-2.87</v>
      </c>
      <c r="F374" s="5">
        <v>24</v>
      </c>
      <c r="G374" s="5">
        <v>13.888</v>
      </c>
      <c r="H374" s="5">
        <v>15.433999999999999</v>
      </c>
      <c r="I374" s="5">
        <v>7.9660000000000002</v>
      </c>
      <c r="J374" s="5"/>
      <c r="K374" s="5">
        <f t="shared" si="18"/>
        <v>5.2474878234003608</v>
      </c>
      <c r="L374" s="5">
        <f t="shared" si="19"/>
        <v>3.7699218078243644</v>
      </c>
      <c r="M374" s="5">
        <f>STDEV(K373:K377)</f>
        <v>5.3778462194345497E-2</v>
      </c>
      <c r="N374" s="6"/>
    </row>
    <row r="375" spans="1:14" x14ac:dyDescent="0.3">
      <c r="A375" s="4">
        <v>3</v>
      </c>
      <c r="B375" s="5">
        <v>40</v>
      </c>
      <c r="C375" s="5">
        <v>10.79</v>
      </c>
      <c r="D375" s="5">
        <v>1.65</v>
      </c>
      <c r="E375" s="5">
        <v>-2.87</v>
      </c>
      <c r="F375" s="5">
        <v>24</v>
      </c>
      <c r="G375" s="5">
        <v>13.897</v>
      </c>
      <c r="H375" s="5">
        <v>15.531000000000001</v>
      </c>
      <c r="I375" s="5">
        <v>7.6559999999999997</v>
      </c>
      <c r="J375" s="5"/>
      <c r="K375" s="5">
        <f t="shared" si="18"/>
        <v>5.2639517688519231</v>
      </c>
      <c r="L375" s="5">
        <f t="shared" si="19"/>
        <v>3.6958399353641243</v>
      </c>
      <c r="M375" s="5"/>
      <c r="N375" s="6"/>
    </row>
    <row r="376" spans="1:14" x14ac:dyDescent="0.3">
      <c r="A376" s="4">
        <v>4</v>
      </c>
      <c r="B376" s="5">
        <v>40</v>
      </c>
      <c r="C376" s="5">
        <v>10.79</v>
      </c>
      <c r="D376" s="5">
        <v>1.65</v>
      </c>
      <c r="E376" s="5">
        <v>-2.87</v>
      </c>
      <c r="F376" s="5">
        <v>24</v>
      </c>
      <c r="G376" s="5">
        <v>13.891999999999999</v>
      </c>
      <c r="H376" s="5">
        <v>16.03</v>
      </c>
      <c r="I376" s="5">
        <v>7.8929999999999998</v>
      </c>
      <c r="J376" s="5"/>
      <c r="K376" s="5">
        <f t="shared" si="18"/>
        <v>5.3478467408485004</v>
      </c>
      <c r="L376" s="5">
        <f t="shared" si="19"/>
        <v>3.752608370284793</v>
      </c>
      <c r="M376" s="5"/>
      <c r="N376" s="6"/>
    </row>
    <row r="377" spans="1:14" x14ac:dyDescent="0.3">
      <c r="A377" s="4">
        <v>5</v>
      </c>
      <c r="B377" s="5">
        <v>40</v>
      </c>
      <c r="C377" s="5">
        <v>10.91</v>
      </c>
      <c r="D377" s="5">
        <v>1.65</v>
      </c>
      <c r="E377" s="5">
        <v>-2.87</v>
      </c>
      <c r="F377" s="5">
        <v>24</v>
      </c>
      <c r="G377" s="5">
        <v>13.891999999999999</v>
      </c>
      <c r="H377" s="5">
        <v>15.634</v>
      </c>
      <c r="I377" s="5">
        <v>8.3249999999999993</v>
      </c>
      <c r="J377" s="5"/>
      <c r="K377" s="5">
        <f t="shared" si="18"/>
        <v>5.2813779187618275</v>
      </c>
      <c r="L377" s="5">
        <f t="shared" si="19"/>
        <v>3.8539343522015774</v>
      </c>
      <c r="M377" s="5"/>
      <c r="N377" s="6"/>
    </row>
    <row r="378" spans="1:14" x14ac:dyDescent="0.3">
      <c r="A378" s="4">
        <v>1</v>
      </c>
      <c r="B378" s="5">
        <v>40</v>
      </c>
      <c r="C378" s="5">
        <v>10.79</v>
      </c>
      <c r="D378" s="5">
        <v>2.13</v>
      </c>
      <c r="E378" s="5">
        <v>-2.87</v>
      </c>
      <c r="F378" s="5">
        <v>24</v>
      </c>
      <c r="G378" s="5">
        <v>13.894</v>
      </c>
      <c r="H378" s="5">
        <v>13.098000000000001</v>
      </c>
      <c r="I378" s="5">
        <v>7.7409999999999997</v>
      </c>
      <c r="J378" s="5"/>
      <c r="K378" s="5">
        <f t="shared" si="18"/>
        <v>4.8340894750336982</v>
      </c>
      <c r="L378" s="5">
        <f t="shared" si="19"/>
        <v>3.716299656924011</v>
      </c>
      <c r="M378" s="5">
        <f>AVERAGE(K378:K382)</f>
        <v>4.7884692308071406</v>
      </c>
      <c r="N378" s="6"/>
    </row>
    <row r="379" spans="1:14" x14ac:dyDescent="0.3">
      <c r="A379" s="4">
        <v>2</v>
      </c>
      <c r="B379" s="5">
        <v>40</v>
      </c>
      <c r="C379" s="5">
        <v>10.79</v>
      </c>
      <c r="D379" s="5">
        <v>2.13</v>
      </c>
      <c r="E379" s="5">
        <v>-2.87</v>
      </c>
      <c r="F379" s="5">
        <v>24</v>
      </c>
      <c r="G379" s="5">
        <v>13.893000000000001</v>
      </c>
      <c r="H379" s="5">
        <v>12.539</v>
      </c>
      <c r="I379" s="5">
        <v>8.0690000000000008</v>
      </c>
      <c r="J379" s="5"/>
      <c r="K379" s="5">
        <f t="shared" si="18"/>
        <v>4.7298094289952051</v>
      </c>
      <c r="L379" s="5">
        <f t="shared" si="19"/>
        <v>3.7942159839808083</v>
      </c>
      <c r="M379" s="5">
        <f>STDEV(K378:K382)</f>
        <v>8.2477250076505651E-2</v>
      </c>
      <c r="N379" s="6"/>
    </row>
    <row r="380" spans="1:14" x14ac:dyDescent="0.3">
      <c r="A380" s="4">
        <v>3</v>
      </c>
      <c r="B380" s="5">
        <v>40</v>
      </c>
      <c r="C380" s="5">
        <v>10.91</v>
      </c>
      <c r="D380" s="5">
        <v>2.13</v>
      </c>
      <c r="E380" s="5">
        <v>-2.87</v>
      </c>
      <c r="F380" s="5">
        <v>24</v>
      </c>
      <c r="G380" s="5">
        <v>13.896000000000001</v>
      </c>
      <c r="H380" s="5">
        <v>13.506</v>
      </c>
      <c r="I380" s="5">
        <v>8.2639999999999993</v>
      </c>
      <c r="J380" s="5"/>
      <c r="K380" s="5">
        <f t="shared" si="18"/>
        <v>4.90880255778265</v>
      </c>
      <c r="L380" s="5">
        <f t="shared" si="19"/>
        <v>3.8397888731731276</v>
      </c>
      <c r="M380" s="5"/>
      <c r="N380" s="6"/>
    </row>
    <row r="381" spans="1:14" x14ac:dyDescent="0.3">
      <c r="A381" s="4">
        <v>4</v>
      </c>
      <c r="B381" s="5">
        <v>40</v>
      </c>
      <c r="C381" s="5">
        <v>10.91</v>
      </c>
      <c r="D381" s="5">
        <v>2.13</v>
      </c>
      <c r="E381" s="5">
        <v>-2.87</v>
      </c>
      <c r="F381" s="5">
        <v>24</v>
      </c>
      <c r="G381" s="5">
        <v>13.891</v>
      </c>
      <c r="H381" s="5">
        <v>12.423</v>
      </c>
      <c r="I381" s="5">
        <v>7.9050000000000002</v>
      </c>
      <c r="J381" s="5"/>
      <c r="K381" s="5">
        <f t="shared" si="18"/>
        <v>4.7078805381469673</v>
      </c>
      <c r="L381" s="5">
        <f t="shared" si="19"/>
        <v>3.7554598968135031</v>
      </c>
      <c r="M381" s="5"/>
      <c r="N381" s="6"/>
    </row>
    <row r="382" spans="1:14" x14ac:dyDescent="0.3">
      <c r="A382" s="4">
        <v>5</v>
      </c>
      <c r="B382" s="5">
        <v>40</v>
      </c>
      <c r="C382" s="5">
        <v>10.79</v>
      </c>
      <c r="D382" s="5">
        <v>2.13</v>
      </c>
      <c r="E382" s="5">
        <v>-2.87</v>
      </c>
      <c r="F382" s="5">
        <v>24</v>
      </c>
      <c r="G382" s="5">
        <v>13.891999999999999</v>
      </c>
      <c r="H382" s="5">
        <v>12.709</v>
      </c>
      <c r="I382" s="5">
        <v>7.7649999999999997</v>
      </c>
      <c r="J382" s="5"/>
      <c r="K382" s="5">
        <f t="shared" si="18"/>
        <v>4.761764154077186</v>
      </c>
      <c r="L382" s="5">
        <f t="shared" si="19"/>
        <v>3.7220561591329484</v>
      </c>
      <c r="M382" s="5"/>
      <c r="N382" s="6"/>
    </row>
    <row r="383" spans="1:14" x14ac:dyDescent="0.3">
      <c r="A383" s="4">
        <v>1</v>
      </c>
      <c r="B383" s="5">
        <v>40</v>
      </c>
      <c r="C383" s="5">
        <v>10.79</v>
      </c>
      <c r="D383" s="5">
        <v>2.52</v>
      </c>
      <c r="E383" s="5">
        <v>-2.87</v>
      </c>
      <c r="F383" s="5">
        <v>24</v>
      </c>
      <c r="G383" s="5">
        <v>13.888999999999999</v>
      </c>
      <c r="H383" s="5">
        <v>10.769</v>
      </c>
      <c r="I383" s="5">
        <v>8.27</v>
      </c>
      <c r="J383" s="5"/>
      <c r="K383" s="5">
        <f t="shared" si="18"/>
        <v>4.3832867231986832</v>
      </c>
      <c r="L383" s="5">
        <f t="shared" si="19"/>
        <v>3.8411825416745891</v>
      </c>
      <c r="M383" s="5">
        <f>AVERAGE(K383:K387)</f>
        <v>4.3094751001891254</v>
      </c>
      <c r="N383" s="6"/>
    </row>
    <row r="384" spans="1:14" x14ac:dyDescent="0.3">
      <c r="A384" s="4">
        <v>2</v>
      </c>
      <c r="B384" s="5">
        <v>40</v>
      </c>
      <c r="C384" s="5">
        <v>10.91</v>
      </c>
      <c r="D384" s="5">
        <v>2.52</v>
      </c>
      <c r="E384" s="5">
        <v>-2.87</v>
      </c>
      <c r="F384" s="5">
        <v>24</v>
      </c>
      <c r="G384" s="5">
        <v>13.888999999999999</v>
      </c>
      <c r="H384" s="5">
        <v>10.569000000000001</v>
      </c>
      <c r="I384" s="5">
        <v>8.3800000000000008</v>
      </c>
      <c r="J384" s="5"/>
      <c r="K384" s="5">
        <f t="shared" si="18"/>
        <v>4.3423931459184919</v>
      </c>
      <c r="L384" s="5">
        <f t="shared" si="19"/>
        <v>3.8666441087450929</v>
      </c>
      <c r="M384" s="5">
        <f>STDEV(K383:K387)</f>
        <v>5.6508867736648198E-2</v>
      </c>
      <c r="N384" s="6"/>
    </row>
    <row r="385" spans="1:14" x14ac:dyDescent="0.3">
      <c r="A385" s="4">
        <v>3</v>
      </c>
      <c r="B385" s="5">
        <v>40</v>
      </c>
      <c r="C385" s="5">
        <v>10.91</v>
      </c>
      <c r="D385" s="5">
        <v>2.52</v>
      </c>
      <c r="E385" s="5">
        <v>-2.87</v>
      </c>
      <c r="F385" s="5">
        <v>24</v>
      </c>
      <c r="G385" s="5">
        <v>13.894</v>
      </c>
      <c r="H385" s="5">
        <v>10.343999999999999</v>
      </c>
      <c r="I385" s="5">
        <v>8.9090000000000007</v>
      </c>
      <c r="J385" s="5"/>
      <c r="K385" s="5">
        <f t="shared" si="18"/>
        <v>4.2959225943519623</v>
      </c>
      <c r="L385" s="5">
        <f t="shared" si="19"/>
        <v>3.9868203925064476</v>
      </c>
      <c r="M385" s="5"/>
      <c r="N385" s="6"/>
    </row>
    <row r="386" spans="1:14" x14ac:dyDescent="0.3">
      <c r="A386" s="4">
        <v>4</v>
      </c>
      <c r="B386" s="5">
        <v>40</v>
      </c>
      <c r="C386" s="5">
        <v>10.79</v>
      </c>
      <c r="D386" s="5">
        <v>2.52</v>
      </c>
      <c r="E386" s="5">
        <v>-2.87</v>
      </c>
      <c r="F386" s="5">
        <v>24</v>
      </c>
      <c r="G386" s="5">
        <v>13.891999999999999</v>
      </c>
      <c r="H386" s="5">
        <v>10.045999999999999</v>
      </c>
      <c r="I386" s="5">
        <v>8.1120000000000001</v>
      </c>
      <c r="J386" s="5"/>
      <c r="K386" s="5">
        <f t="shared" si="18"/>
        <v>4.2335898222701331</v>
      </c>
      <c r="L386" s="5">
        <f t="shared" si="19"/>
        <v>3.8043123097172491</v>
      </c>
      <c r="M386" s="5"/>
      <c r="N386" s="6"/>
    </row>
    <row r="387" spans="1:14" x14ac:dyDescent="0.3">
      <c r="A387" s="4">
        <v>5</v>
      </c>
      <c r="B387" s="5">
        <v>40</v>
      </c>
      <c r="C387" s="5">
        <v>10.66</v>
      </c>
      <c r="D387" s="5">
        <v>2.52</v>
      </c>
      <c r="E387" s="5">
        <v>-2.87</v>
      </c>
      <c r="F387" s="5">
        <v>24</v>
      </c>
      <c r="G387" s="5">
        <v>13.893000000000001</v>
      </c>
      <c r="H387" s="5">
        <v>10.326000000000001</v>
      </c>
      <c r="I387" s="5">
        <v>8.3369999999999997</v>
      </c>
      <c r="J387" s="5"/>
      <c r="K387" s="5">
        <f t="shared" si="18"/>
        <v>4.292183215206359</v>
      </c>
      <c r="L387" s="5">
        <f t="shared" si="19"/>
        <v>3.8567109623255917</v>
      </c>
      <c r="M387" s="5"/>
      <c r="N387" s="6"/>
    </row>
    <row r="388" spans="1:14" x14ac:dyDescent="0.3">
      <c r="A388" s="4">
        <v>1</v>
      </c>
      <c r="B388" s="5">
        <v>40</v>
      </c>
      <c r="C388" s="5">
        <v>10.79</v>
      </c>
      <c r="D388" s="5">
        <v>2.87</v>
      </c>
      <c r="E388" s="5">
        <v>-2.87</v>
      </c>
      <c r="F388" s="5">
        <v>24</v>
      </c>
      <c r="G388" s="5">
        <v>13.897</v>
      </c>
      <c r="H388" s="5">
        <v>6.78</v>
      </c>
      <c r="I388" s="5">
        <v>8.5559999999999992</v>
      </c>
      <c r="J388" s="5"/>
      <c r="K388" s="5">
        <f t="shared" si="18"/>
        <v>3.4779796651638848</v>
      </c>
      <c r="L388" s="5">
        <f t="shared" si="19"/>
        <v>3.9070374986755745</v>
      </c>
      <c r="M388" s="5">
        <f>AVERAGE(K388:K392)</f>
        <v>3.3583986125791143</v>
      </c>
      <c r="N388" s="6"/>
    </row>
    <row r="389" spans="1:14" x14ac:dyDescent="0.3">
      <c r="A389" s="4">
        <v>2</v>
      </c>
      <c r="B389" s="5">
        <v>40</v>
      </c>
      <c r="C389" s="5">
        <v>10.91</v>
      </c>
      <c r="D389" s="5">
        <v>2.87</v>
      </c>
      <c r="E389" s="5">
        <v>-2.87</v>
      </c>
      <c r="F389" s="5">
        <v>24</v>
      </c>
      <c r="G389" s="5">
        <v>13.894</v>
      </c>
      <c r="H389" s="5">
        <v>6.2759999999999998</v>
      </c>
      <c r="I389" s="5">
        <v>8.1</v>
      </c>
      <c r="J389" s="5"/>
      <c r="K389" s="5">
        <f t="shared" si="18"/>
        <v>3.3462135923888061</v>
      </c>
      <c r="L389" s="5">
        <f t="shared" si="19"/>
        <v>3.801497427859605</v>
      </c>
      <c r="M389" s="5">
        <f>STDEV(K388:K392)</f>
        <v>0.14639196552459083</v>
      </c>
      <c r="N389" s="6"/>
    </row>
    <row r="390" spans="1:14" x14ac:dyDescent="0.3">
      <c r="A390" s="4">
        <v>3</v>
      </c>
      <c r="B390" s="5">
        <v>40</v>
      </c>
      <c r="C390" s="5">
        <v>10.91</v>
      </c>
      <c r="D390" s="5">
        <v>2.87</v>
      </c>
      <c r="E390" s="5">
        <v>-2.87</v>
      </c>
      <c r="F390" s="5">
        <v>24</v>
      </c>
      <c r="G390" s="5">
        <v>13.897</v>
      </c>
      <c r="H390" s="5">
        <v>6.7130000000000001</v>
      </c>
      <c r="I390" s="5">
        <v>7.9420000000000002</v>
      </c>
      <c r="J390" s="5"/>
      <c r="K390" s="5">
        <f t="shared" si="18"/>
        <v>3.4607522914587161</v>
      </c>
      <c r="L390" s="5">
        <f t="shared" si="19"/>
        <v>3.7642385053850838</v>
      </c>
      <c r="M390" s="5"/>
      <c r="N390" s="6"/>
    </row>
    <row r="391" spans="1:14" x14ac:dyDescent="0.3">
      <c r="A391" s="4">
        <v>4</v>
      </c>
      <c r="B391" s="5">
        <v>40</v>
      </c>
      <c r="C391" s="5">
        <v>11.03</v>
      </c>
      <c r="D391" s="5">
        <v>2.87</v>
      </c>
      <c r="E391" s="5">
        <v>-2.87</v>
      </c>
      <c r="F391" s="5">
        <v>23.975000000000001</v>
      </c>
      <c r="G391" s="5">
        <v>13.895</v>
      </c>
      <c r="H391" s="5">
        <v>5.4359999999999999</v>
      </c>
      <c r="I391" s="5">
        <v>7.17</v>
      </c>
      <c r="J391" s="5"/>
      <c r="K391" s="5">
        <f t="shared" ref="K391:K431" si="20">SQRT(2*(H391)/$N$1)</f>
        <v>3.114238831059331</v>
      </c>
      <c r="L391" s="5">
        <f t="shared" ref="L391:L431" si="21">SQRT(2*(I391)/$N$1)</f>
        <v>3.5766115061872319</v>
      </c>
      <c r="M391" s="5"/>
      <c r="N391" s="6"/>
    </row>
    <row r="392" spans="1:14" ht="15" thickBot="1" x14ac:dyDescent="0.35">
      <c r="A392" s="7">
        <v>5</v>
      </c>
      <c r="B392" s="8">
        <v>40</v>
      </c>
      <c r="C392" s="8">
        <v>10.91</v>
      </c>
      <c r="D392" s="8">
        <v>2.87</v>
      </c>
      <c r="E392" s="8">
        <v>-2.87</v>
      </c>
      <c r="F392" s="8">
        <v>24</v>
      </c>
      <c r="G392" s="8">
        <v>13.891</v>
      </c>
      <c r="H392" s="8">
        <v>6.452</v>
      </c>
      <c r="I392" s="8">
        <v>7.2489999999999997</v>
      </c>
      <c r="J392" s="8"/>
      <c r="K392" s="8">
        <f t="shared" si="20"/>
        <v>3.3928086828248305</v>
      </c>
      <c r="L392" s="8">
        <f t="shared" si="21"/>
        <v>3.5962613156569465</v>
      </c>
      <c r="M392" s="8"/>
      <c r="N392" s="9"/>
    </row>
    <row r="393" spans="1:14" x14ac:dyDescent="0.3">
      <c r="A393" s="1">
        <v>1</v>
      </c>
      <c r="B393" s="2">
        <v>40</v>
      </c>
      <c r="C393" s="2">
        <v>10.66</v>
      </c>
      <c r="D393" s="2">
        <v>-2.87</v>
      </c>
      <c r="E393" s="2">
        <v>-2.87</v>
      </c>
      <c r="F393" s="2">
        <v>24</v>
      </c>
      <c r="G393" s="2">
        <v>13.89</v>
      </c>
      <c r="H393" s="2">
        <v>6.9870000000000001</v>
      </c>
      <c r="I393" s="2">
        <v>7.875</v>
      </c>
      <c r="J393" s="2"/>
      <c r="K393" s="2">
        <f t="shared" si="20"/>
        <v>3.5306735426240121</v>
      </c>
      <c r="L393" s="2">
        <f t="shared" si="21"/>
        <v>3.7483270130775668</v>
      </c>
      <c r="M393" s="2"/>
      <c r="N393" s="3">
        <f>AVERAGE(L393:L397)</f>
        <v>3.859278111456109</v>
      </c>
    </row>
    <row r="394" spans="1:14" x14ac:dyDescent="0.3">
      <c r="A394" s="4">
        <v>2</v>
      </c>
      <c r="B394" s="5">
        <v>40</v>
      </c>
      <c r="C394" s="5">
        <v>10.79</v>
      </c>
      <c r="D394" s="5">
        <v>-2.87</v>
      </c>
      <c r="E394" s="5">
        <v>-2.87</v>
      </c>
      <c r="F394" s="5">
        <v>24</v>
      </c>
      <c r="G394" s="5">
        <v>13.891</v>
      </c>
      <c r="H394" s="5">
        <v>6.3970000000000002</v>
      </c>
      <c r="I394" s="5">
        <v>7.7110000000000003</v>
      </c>
      <c r="J394" s="5"/>
      <c r="K394" s="5">
        <f t="shared" si="20"/>
        <v>3.3783167533015348</v>
      </c>
      <c r="L394" s="5">
        <f t="shared" si="21"/>
        <v>3.7090914656349514</v>
      </c>
      <c r="M394" s="5"/>
      <c r="N394" s="6">
        <f>STDEV(L393:L397)</f>
        <v>0.12757222293055789</v>
      </c>
    </row>
    <row r="395" spans="1:14" x14ac:dyDescent="0.3">
      <c r="A395" s="4">
        <v>3</v>
      </c>
      <c r="B395" s="5">
        <v>40</v>
      </c>
      <c r="C395" s="5">
        <v>10.91</v>
      </c>
      <c r="D395" s="5">
        <v>-2.87</v>
      </c>
      <c r="E395" s="5">
        <v>-2.87</v>
      </c>
      <c r="F395" s="5">
        <v>24</v>
      </c>
      <c r="G395" s="5">
        <v>13.891</v>
      </c>
      <c r="H395" s="5">
        <v>6.2450000000000001</v>
      </c>
      <c r="I395" s="5">
        <v>8.7439999999999998</v>
      </c>
      <c r="J395" s="5"/>
      <c r="K395" s="5">
        <f t="shared" si="20"/>
        <v>3.3379391314042648</v>
      </c>
      <c r="L395" s="5">
        <f t="shared" si="21"/>
        <v>3.9497287026154151</v>
      </c>
      <c r="M395" s="5"/>
      <c r="N395" s="6"/>
    </row>
    <row r="396" spans="1:14" x14ac:dyDescent="0.3">
      <c r="A396" s="4">
        <v>4</v>
      </c>
      <c r="B396" s="5">
        <v>40</v>
      </c>
      <c r="C396" s="5">
        <v>10.91</v>
      </c>
      <c r="D396" s="5">
        <v>-2.87</v>
      </c>
      <c r="E396" s="5">
        <v>-2.87</v>
      </c>
      <c r="F396" s="5">
        <v>24</v>
      </c>
      <c r="G396" s="5">
        <v>13.896000000000001</v>
      </c>
      <c r="H396" s="5">
        <v>6.7439999999999998</v>
      </c>
      <c r="I396" s="5">
        <v>8.4529999999999994</v>
      </c>
      <c r="J396" s="5"/>
      <c r="K396" s="5">
        <f t="shared" si="20"/>
        <v>3.4687338012255271</v>
      </c>
      <c r="L396" s="5">
        <f t="shared" si="21"/>
        <v>3.8834491782526732</v>
      </c>
      <c r="M396" s="5"/>
      <c r="N396" s="6"/>
    </row>
    <row r="397" spans="1:14" x14ac:dyDescent="0.3">
      <c r="A397" s="4">
        <v>5</v>
      </c>
      <c r="B397" s="5">
        <v>40</v>
      </c>
      <c r="C397" s="5">
        <v>10.91</v>
      </c>
      <c r="D397" s="5">
        <v>-2.87</v>
      </c>
      <c r="E397" s="5">
        <v>-2.87</v>
      </c>
      <c r="F397" s="5">
        <v>24</v>
      </c>
      <c r="G397" s="5">
        <v>13.893000000000001</v>
      </c>
      <c r="H397" s="5">
        <v>6.9989999999999997</v>
      </c>
      <c r="I397" s="5">
        <v>8.9939999999999998</v>
      </c>
      <c r="J397" s="5"/>
      <c r="K397" s="5">
        <f t="shared" si="20"/>
        <v>3.5337041642486411</v>
      </c>
      <c r="L397" s="5">
        <f t="shared" si="21"/>
        <v>4.0057941976999381</v>
      </c>
      <c r="M397" s="5"/>
      <c r="N397" s="6"/>
    </row>
    <row r="398" spans="1:14" x14ac:dyDescent="0.3">
      <c r="A398" s="4">
        <v>1</v>
      </c>
      <c r="B398" s="5">
        <v>40</v>
      </c>
      <c r="C398" s="5">
        <v>11.03</v>
      </c>
      <c r="D398" s="5">
        <v>-2.87</v>
      </c>
      <c r="E398" s="5">
        <v>-2.52</v>
      </c>
      <c r="F398" s="5">
        <v>24</v>
      </c>
      <c r="G398" s="5">
        <v>13.893000000000001</v>
      </c>
      <c r="H398" s="5">
        <v>6.7990000000000004</v>
      </c>
      <c r="I398" s="5">
        <v>12.259</v>
      </c>
      <c r="J398" s="5"/>
      <c r="K398" s="5">
        <f t="shared" si="20"/>
        <v>3.4828495311136014</v>
      </c>
      <c r="L398" s="5">
        <f t="shared" si="21"/>
        <v>4.6767021783455505</v>
      </c>
      <c r="M398" s="5"/>
      <c r="N398" s="6">
        <f>AVERAGE(L398:L402)</f>
        <v>4.6583944181344288</v>
      </c>
    </row>
    <row r="399" spans="1:14" x14ac:dyDescent="0.3">
      <c r="A399" s="4">
        <v>2</v>
      </c>
      <c r="B399" s="5">
        <v>40</v>
      </c>
      <c r="C399" s="5">
        <v>10.91</v>
      </c>
      <c r="D399" s="5">
        <v>-2.87</v>
      </c>
      <c r="E399" s="5">
        <v>-2.52</v>
      </c>
      <c r="F399" s="5">
        <v>24</v>
      </c>
      <c r="G399" s="5">
        <v>13.895</v>
      </c>
      <c r="H399" s="5">
        <v>6.4820000000000002</v>
      </c>
      <c r="I399" s="5">
        <v>11.986000000000001</v>
      </c>
      <c r="J399" s="5"/>
      <c r="K399" s="5">
        <f t="shared" si="20"/>
        <v>3.4006873419735393</v>
      </c>
      <c r="L399" s="5">
        <f t="shared" si="21"/>
        <v>4.6243354273358923</v>
      </c>
      <c r="M399" s="5"/>
      <c r="N399" s="6">
        <f>STDEV(L398:L402)</f>
        <v>7.3039190889910663E-2</v>
      </c>
    </row>
    <row r="400" spans="1:14" x14ac:dyDescent="0.3">
      <c r="A400" s="4">
        <v>3</v>
      </c>
      <c r="B400" s="5">
        <v>40</v>
      </c>
      <c r="C400" s="5">
        <v>10.91</v>
      </c>
      <c r="D400" s="5">
        <v>-2.87</v>
      </c>
      <c r="E400" s="5">
        <v>-2.52</v>
      </c>
      <c r="F400" s="5">
        <v>24</v>
      </c>
      <c r="G400" s="5">
        <v>13.891999999999999</v>
      </c>
      <c r="H400" s="5">
        <v>6.8529999999999998</v>
      </c>
      <c r="I400" s="5">
        <v>12.095000000000001</v>
      </c>
      <c r="J400" s="5"/>
      <c r="K400" s="5">
        <f t="shared" si="20"/>
        <v>3.4966531723451957</v>
      </c>
      <c r="L400" s="5">
        <f t="shared" si="21"/>
        <v>4.6453145607613111</v>
      </c>
      <c r="M400" s="5"/>
      <c r="N400" s="6"/>
    </row>
    <row r="401" spans="1:14" x14ac:dyDescent="0.3">
      <c r="A401" s="4">
        <v>4</v>
      </c>
      <c r="B401" s="5">
        <v>40</v>
      </c>
      <c r="C401" s="5">
        <v>10.91</v>
      </c>
      <c r="D401" s="5">
        <v>-2.87</v>
      </c>
      <c r="E401" s="5">
        <v>-2.52</v>
      </c>
      <c r="F401" s="5">
        <v>24</v>
      </c>
      <c r="G401" s="5">
        <v>13.891</v>
      </c>
      <c r="H401" s="5">
        <v>7.1760000000000002</v>
      </c>
      <c r="I401" s="5">
        <v>11.73</v>
      </c>
      <c r="J401" s="5"/>
      <c r="K401" s="5">
        <f t="shared" si="20"/>
        <v>3.5781076834148524</v>
      </c>
      <c r="L401" s="5">
        <f t="shared" si="21"/>
        <v>4.5746850259367458</v>
      </c>
      <c r="M401" s="5"/>
      <c r="N401" s="6"/>
    </row>
    <row r="402" spans="1:14" x14ac:dyDescent="0.3">
      <c r="A402" s="4">
        <v>5</v>
      </c>
      <c r="B402" s="5">
        <v>40</v>
      </c>
      <c r="C402" s="5">
        <v>10.79</v>
      </c>
      <c r="D402" s="5">
        <v>-2.87</v>
      </c>
      <c r="E402" s="5">
        <v>-2.52</v>
      </c>
      <c r="F402" s="5">
        <v>24</v>
      </c>
      <c r="G402" s="5">
        <v>13.891999999999999</v>
      </c>
      <c r="H402" s="5">
        <v>7.2670000000000003</v>
      </c>
      <c r="I402" s="5">
        <v>12.757999999999999</v>
      </c>
      <c r="J402" s="5"/>
      <c r="K402" s="5">
        <f t="shared" si="20"/>
        <v>3.6007234876140002</v>
      </c>
      <c r="L402" s="5">
        <f t="shared" si="21"/>
        <v>4.7709348982926452</v>
      </c>
      <c r="M402" s="5"/>
      <c r="N402" s="6"/>
    </row>
    <row r="403" spans="1:14" x14ac:dyDescent="0.3">
      <c r="A403" s="4">
        <v>1</v>
      </c>
      <c r="B403" s="5">
        <v>40</v>
      </c>
      <c r="C403" s="5">
        <v>10.79</v>
      </c>
      <c r="D403" s="5">
        <v>-2.87</v>
      </c>
      <c r="E403" s="5">
        <v>-2.13</v>
      </c>
      <c r="F403" s="5">
        <v>24</v>
      </c>
      <c r="G403" s="5">
        <v>13.891</v>
      </c>
      <c r="H403" s="5">
        <v>6.1779999999999999</v>
      </c>
      <c r="I403" s="5">
        <v>15.840999999999999</v>
      </c>
      <c r="J403" s="5"/>
      <c r="K403" s="5">
        <f t="shared" si="20"/>
        <v>3.3199851681149304</v>
      </c>
      <c r="L403" s="5">
        <f t="shared" si="21"/>
        <v>5.3162266537532723</v>
      </c>
      <c r="M403" s="5"/>
      <c r="N403" s="6">
        <f>AVERAGE(L403:L407)</f>
        <v>5.2719138809043757</v>
      </c>
    </row>
    <row r="404" spans="1:14" x14ac:dyDescent="0.3">
      <c r="A404" s="4">
        <v>2</v>
      </c>
      <c r="B404" s="5">
        <v>40</v>
      </c>
      <c r="C404" s="5">
        <v>10.91</v>
      </c>
      <c r="D404" s="5">
        <v>-2.87</v>
      </c>
      <c r="E404" s="5">
        <v>-2.13</v>
      </c>
      <c r="F404" s="5">
        <v>24</v>
      </c>
      <c r="G404" s="5">
        <v>13.89</v>
      </c>
      <c r="H404" s="5">
        <v>6.9569999999999999</v>
      </c>
      <c r="I404" s="5">
        <v>15.871</v>
      </c>
      <c r="J404" s="5"/>
      <c r="K404" s="5">
        <f t="shared" si="20"/>
        <v>3.5230855829766181</v>
      </c>
      <c r="L404" s="5">
        <f t="shared" si="21"/>
        <v>5.3212582603820513</v>
      </c>
      <c r="M404" s="5"/>
      <c r="N404" s="6">
        <f>STDEV(L403:L407)</f>
        <v>5.5494695998156277E-2</v>
      </c>
    </row>
    <row r="405" spans="1:14" x14ac:dyDescent="0.3">
      <c r="A405" s="4">
        <v>3</v>
      </c>
      <c r="B405" s="5">
        <v>40</v>
      </c>
      <c r="C405" s="5">
        <v>10.79</v>
      </c>
      <c r="D405" s="5">
        <v>-2.87</v>
      </c>
      <c r="E405" s="5">
        <v>-2.13</v>
      </c>
      <c r="F405" s="5">
        <v>24</v>
      </c>
      <c r="G405" s="5">
        <v>13.891999999999999</v>
      </c>
      <c r="H405" s="5">
        <v>7.0720000000000001</v>
      </c>
      <c r="I405" s="5">
        <v>15.725</v>
      </c>
      <c r="J405" s="5"/>
      <c r="K405" s="5">
        <f t="shared" si="20"/>
        <v>3.5520847367153872</v>
      </c>
      <c r="L405" s="5">
        <f t="shared" si="21"/>
        <v>5.2967261361078259</v>
      </c>
      <c r="M405" s="5"/>
      <c r="N405" s="6"/>
    </row>
    <row r="406" spans="1:14" x14ac:dyDescent="0.3">
      <c r="A406" s="4">
        <v>4</v>
      </c>
      <c r="B406" s="5">
        <v>40</v>
      </c>
      <c r="C406" s="5">
        <v>10.79</v>
      </c>
      <c r="D406" s="5">
        <v>-2.87</v>
      </c>
      <c r="E406" s="5">
        <v>-2.13</v>
      </c>
      <c r="F406" s="5">
        <v>24</v>
      </c>
      <c r="G406" s="5">
        <v>13.891999999999999</v>
      </c>
      <c r="H406" s="5">
        <v>6.4089999999999998</v>
      </c>
      <c r="I406" s="5">
        <v>15.16</v>
      </c>
      <c r="J406" s="5"/>
      <c r="K406" s="5">
        <f t="shared" si="20"/>
        <v>3.3814839259533409</v>
      </c>
      <c r="L406" s="5">
        <f t="shared" si="21"/>
        <v>5.2006998774190594</v>
      </c>
      <c r="M406" s="5"/>
      <c r="N406" s="6"/>
    </row>
    <row r="407" spans="1:14" x14ac:dyDescent="0.3">
      <c r="A407" s="4">
        <v>5</v>
      </c>
      <c r="B407" s="5">
        <v>40</v>
      </c>
      <c r="C407" s="5">
        <v>10.79</v>
      </c>
      <c r="D407" s="5">
        <v>-2.87</v>
      </c>
      <c r="E407" s="5">
        <v>-2.13</v>
      </c>
      <c r="F407" s="5">
        <v>24</v>
      </c>
      <c r="G407" s="5">
        <v>13.891999999999999</v>
      </c>
      <c r="H407" s="5">
        <v>6.6710000000000003</v>
      </c>
      <c r="I407" s="5">
        <v>15.3</v>
      </c>
      <c r="J407" s="5"/>
      <c r="K407" s="5">
        <f t="shared" si="20"/>
        <v>3.4499091766865781</v>
      </c>
      <c r="L407" s="5">
        <f t="shared" si="21"/>
        <v>5.224658476859668</v>
      </c>
      <c r="M407" s="5"/>
      <c r="N407" s="6"/>
    </row>
    <row r="408" spans="1:14" x14ac:dyDescent="0.3">
      <c r="A408" s="4">
        <v>1</v>
      </c>
      <c r="B408" s="5">
        <v>40</v>
      </c>
      <c r="C408" s="5">
        <v>10.79</v>
      </c>
      <c r="D408" s="5">
        <v>-2.87</v>
      </c>
      <c r="E408" s="5">
        <v>-1.65</v>
      </c>
      <c r="F408" s="5">
        <v>24</v>
      </c>
      <c r="G408" s="5">
        <v>13.891999999999999</v>
      </c>
      <c r="H408" s="5">
        <v>6.0259999999999998</v>
      </c>
      <c r="I408" s="5">
        <v>17.878</v>
      </c>
      <c r="J408" s="5"/>
      <c r="K408" s="5">
        <f t="shared" si="20"/>
        <v>3.2788893052107073</v>
      </c>
      <c r="L408" s="5">
        <f t="shared" si="21"/>
        <v>5.6477005022774991</v>
      </c>
      <c r="M408" s="5"/>
      <c r="N408" s="6">
        <f>AVERAGE(L408:L412)</f>
        <v>5.7173790786992855</v>
      </c>
    </row>
    <row r="409" spans="1:14" x14ac:dyDescent="0.3">
      <c r="A409" s="4">
        <v>2</v>
      </c>
      <c r="B409" s="5">
        <v>40</v>
      </c>
      <c r="C409" s="5">
        <v>10.66</v>
      </c>
      <c r="D409" s="5">
        <v>-2.87</v>
      </c>
      <c r="E409" s="5">
        <v>-1.65</v>
      </c>
      <c r="F409" s="5">
        <v>24</v>
      </c>
      <c r="G409" s="5">
        <v>13.89</v>
      </c>
      <c r="H409" s="5">
        <v>7.2240000000000002</v>
      </c>
      <c r="I409" s="5">
        <v>18.437999999999999</v>
      </c>
      <c r="J409" s="5"/>
      <c r="K409" s="5">
        <f t="shared" si="20"/>
        <v>3.5900546538297142</v>
      </c>
      <c r="L409" s="5">
        <f t="shared" si="21"/>
        <v>5.7354711142821904</v>
      </c>
      <c r="M409" s="5"/>
      <c r="N409" s="6">
        <f>STDEV(L408:L412)</f>
        <v>5.4637963592531043E-2</v>
      </c>
    </row>
    <row r="410" spans="1:14" x14ac:dyDescent="0.3">
      <c r="A410" s="4">
        <v>3</v>
      </c>
      <c r="B410" s="5">
        <v>40</v>
      </c>
      <c r="C410" s="5">
        <v>10.79</v>
      </c>
      <c r="D410" s="5">
        <v>-2.87</v>
      </c>
      <c r="E410" s="5">
        <v>-1.65</v>
      </c>
      <c r="F410" s="5">
        <v>24</v>
      </c>
      <c r="G410" s="5">
        <v>13.893000000000001</v>
      </c>
      <c r="H410" s="5">
        <v>7.5709999999999997</v>
      </c>
      <c r="I410" s="5">
        <v>18.802</v>
      </c>
      <c r="J410" s="5"/>
      <c r="K410" s="5">
        <f t="shared" si="20"/>
        <v>3.6752663190047956</v>
      </c>
      <c r="L410" s="5">
        <f t="shared" si="21"/>
        <v>5.7918087902948168</v>
      </c>
      <c r="M410" s="5"/>
      <c r="N410" s="6"/>
    </row>
    <row r="411" spans="1:14" x14ac:dyDescent="0.3">
      <c r="A411" s="4">
        <v>4</v>
      </c>
      <c r="B411" s="5">
        <v>40</v>
      </c>
      <c r="C411" s="5">
        <v>10.91</v>
      </c>
      <c r="D411" s="5">
        <v>-2.87</v>
      </c>
      <c r="E411" s="5">
        <v>-1.65</v>
      </c>
      <c r="F411" s="5">
        <v>24</v>
      </c>
      <c r="G411" s="5">
        <v>13.89</v>
      </c>
      <c r="H411" s="5">
        <v>6.9320000000000004</v>
      </c>
      <c r="I411" s="5">
        <v>18.388999999999999</v>
      </c>
      <c r="J411" s="5"/>
      <c r="K411" s="5">
        <f t="shared" si="20"/>
        <v>3.5167497767073868</v>
      </c>
      <c r="L411" s="5">
        <f t="shared" si="21"/>
        <v>5.727844879016291</v>
      </c>
      <c r="M411" s="5"/>
      <c r="N411" s="6"/>
    </row>
    <row r="412" spans="1:14" x14ac:dyDescent="0.3">
      <c r="A412" s="4">
        <v>5</v>
      </c>
      <c r="B412" s="5">
        <v>40</v>
      </c>
      <c r="C412" s="5">
        <v>11.03</v>
      </c>
      <c r="D412" s="5">
        <v>-2.87</v>
      </c>
      <c r="E412" s="5">
        <v>-1.65</v>
      </c>
      <c r="F412" s="5">
        <v>24</v>
      </c>
      <c r="G412" s="5">
        <v>13.891999999999999</v>
      </c>
      <c r="H412" s="5">
        <v>7.4859999999999998</v>
      </c>
      <c r="I412" s="5">
        <v>18.109000000000002</v>
      </c>
      <c r="J412" s="5"/>
      <c r="K412" s="5">
        <f t="shared" si="20"/>
        <v>3.6545768843177768</v>
      </c>
      <c r="L412" s="5">
        <f t="shared" si="21"/>
        <v>5.6840701076256277</v>
      </c>
      <c r="M412" s="5"/>
      <c r="N412" s="6"/>
    </row>
    <row r="413" spans="1:14" x14ac:dyDescent="0.3">
      <c r="A413" s="4">
        <v>1</v>
      </c>
      <c r="B413" s="5">
        <v>40</v>
      </c>
      <c r="C413" s="5">
        <v>10.91</v>
      </c>
      <c r="D413" s="5">
        <v>-2.87</v>
      </c>
      <c r="E413" s="5">
        <v>-0.94</v>
      </c>
      <c r="F413" s="5">
        <v>24</v>
      </c>
      <c r="G413" s="5">
        <v>13.888999999999999</v>
      </c>
      <c r="H413" s="5">
        <v>6.0869999999999997</v>
      </c>
      <c r="I413" s="5">
        <v>17.975000000000001</v>
      </c>
      <c r="J413" s="5"/>
      <c r="K413" s="5">
        <f t="shared" si="20"/>
        <v>3.2954432898110069</v>
      </c>
      <c r="L413" s="5">
        <f t="shared" si="21"/>
        <v>5.6630010358015781</v>
      </c>
      <c r="M413" s="5"/>
      <c r="N413" s="6">
        <f>AVERAGE(L413:L417)</f>
        <v>5.6718049902284395</v>
      </c>
    </row>
    <row r="414" spans="1:14" x14ac:dyDescent="0.3">
      <c r="A414" s="4">
        <v>2</v>
      </c>
      <c r="B414" s="5">
        <v>40</v>
      </c>
      <c r="C414" s="5">
        <v>10.91</v>
      </c>
      <c r="D414" s="5">
        <v>-2.87</v>
      </c>
      <c r="E414" s="5">
        <v>-0.94</v>
      </c>
      <c r="F414" s="5">
        <v>24</v>
      </c>
      <c r="G414" s="5">
        <v>13.896000000000001</v>
      </c>
      <c r="H414" s="5">
        <v>6.4219999999999997</v>
      </c>
      <c r="I414" s="5">
        <v>17.817</v>
      </c>
      <c r="J414" s="5"/>
      <c r="K414" s="5">
        <f t="shared" si="20"/>
        <v>3.3849116855014203</v>
      </c>
      <c r="L414" s="5">
        <f t="shared" si="21"/>
        <v>5.6380572507638016</v>
      </c>
      <c r="M414" s="5"/>
      <c r="N414" s="6">
        <f>STDEV(L413:L417)</f>
        <v>2.4405493939774623E-2</v>
      </c>
    </row>
    <row r="415" spans="1:14" x14ac:dyDescent="0.3">
      <c r="A415" s="4">
        <v>3</v>
      </c>
      <c r="B415" s="5">
        <v>40</v>
      </c>
      <c r="C415" s="5">
        <v>10.91</v>
      </c>
      <c r="D415" s="5">
        <v>-2.87</v>
      </c>
      <c r="E415" s="5">
        <v>-0.94</v>
      </c>
      <c r="F415" s="5">
        <v>24</v>
      </c>
      <c r="G415" s="5">
        <v>13.888999999999999</v>
      </c>
      <c r="H415" s="5">
        <v>6.069</v>
      </c>
      <c r="I415" s="5">
        <v>18.079000000000001</v>
      </c>
      <c r="J415" s="5"/>
      <c r="K415" s="5">
        <f t="shared" si="20"/>
        <v>3.2905671688321294</v>
      </c>
      <c r="L415" s="5">
        <f t="shared" si="21"/>
        <v>5.6793599418240541</v>
      </c>
      <c r="M415" s="5"/>
      <c r="N415" s="6"/>
    </row>
    <row r="416" spans="1:14" x14ac:dyDescent="0.3">
      <c r="A416" s="4">
        <v>4</v>
      </c>
      <c r="B416" s="5">
        <v>40</v>
      </c>
      <c r="C416" s="5">
        <v>10.79</v>
      </c>
      <c r="D416" s="5">
        <v>-2.87</v>
      </c>
      <c r="E416" s="5">
        <v>-0.94</v>
      </c>
      <c r="F416" s="5">
        <v>24</v>
      </c>
      <c r="G416" s="5">
        <v>13.897</v>
      </c>
      <c r="H416" s="5">
        <v>7.0419999999999998</v>
      </c>
      <c r="I416" s="5">
        <v>18.042000000000002</v>
      </c>
      <c r="J416" s="5"/>
      <c r="K416" s="5">
        <f t="shared" si="20"/>
        <v>3.5445426132575877</v>
      </c>
      <c r="L416" s="5">
        <f t="shared" si="21"/>
        <v>5.6735453518894587</v>
      </c>
      <c r="M416" s="5"/>
      <c r="N416" s="6"/>
    </row>
    <row r="417" spans="1:14" x14ac:dyDescent="0.3">
      <c r="A417" s="4">
        <v>5</v>
      </c>
      <c r="B417" s="5">
        <v>40</v>
      </c>
      <c r="C417" s="5">
        <v>10.91</v>
      </c>
      <c r="D417" s="5">
        <v>-2.87</v>
      </c>
      <c r="E417" s="5">
        <v>-0.94</v>
      </c>
      <c r="F417" s="5">
        <v>24</v>
      </c>
      <c r="G417" s="5">
        <v>13.891999999999999</v>
      </c>
      <c r="H417" s="5">
        <v>7.0110000000000001</v>
      </c>
      <c r="I417" s="5">
        <v>18.242999999999999</v>
      </c>
      <c r="J417" s="5"/>
      <c r="K417" s="5">
        <f t="shared" si="20"/>
        <v>3.5367321889381427</v>
      </c>
      <c r="L417" s="5">
        <f t="shared" si="21"/>
        <v>5.7050613708633033</v>
      </c>
      <c r="M417" s="5"/>
      <c r="N417" s="6"/>
    </row>
    <row r="418" spans="1:14" x14ac:dyDescent="0.3">
      <c r="A418" s="4">
        <v>1</v>
      </c>
      <c r="B418" s="5">
        <v>40</v>
      </c>
      <c r="C418" s="5">
        <v>10.79</v>
      </c>
      <c r="D418" s="5">
        <v>-2.87</v>
      </c>
      <c r="E418" s="5">
        <v>0</v>
      </c>
      <c r="F418" s="5">
        <v>24</v>
      </c>
      <c r="G418" s="5">
        <v>13.891999999999999</v>
      </c>
      <c r="H418" s="5">
        <v>6.5670000000000002</v>
      </c>
      <c r="I418" s="5">
        <v>18.03</v>
      </c>
      <c r="J418" s="5"/>
      <c r="K418" s="5">
        <f t="shared" si="20"/>
        <v>3.4229117298113731</v>
      </c>
      <c r="L418" s="5">
        <f t="shared" si="21"/>
        <v>5.671658258754972</v>
      </c>
      <c r="M418" s="5"/>
      <c r="N418" s="6">
        <f>AVERAGE(L418:L422)</f>
        <v>5.6436315392214365</v>
      </c>
    </row>
    <row r="419" spans="1:14" x14ac:dyDescent="0.3">
      <c r="A419" s="4">
        <v>2</v>
      </c>
      <c r="B419" s="5">
        <v>40</v>
      </c>
      <c r="C419" s="5">
        <v>10.91</v>
      </c>
      <c r="D419" s="5">
        <v>-2.87</v>
      </c>
      <c r="E419" s="5">
        <v>0</v>
      </c>
      <c r="F419" s="5">
        <v>24</v>
      </c>
      <c r="G419" s="5">
        <v>13.891999999999999</v>
      </c>
      <c r="H419" s="5">
        <v>6.9379999999999997</v>
      </c>
      <c r="I419" s="5">
        <v>18.018000000000001</v>
      </c>
      <c r="J419" s="5"/>
      <c r="K419" s="5">
        <f t="shared" si="20"/>
        <v>3.5182714107773085</v>
      </c>
      <c r="L419" s="5">
        <f t="shared" si="21"/>
        <v>5.6697705375315222</v>
      </c>
      <c r="M419" s="5"/>
      <c r="N419" s="6">
        <f>STDEV(L418:L422)</f>
        <v>2.8002932798452965E-2</v>
      </c>
    </row>
    <row r="420" spans="1:14" x14ac:dyDescent="0.3">
      <c r="A420" s="4">
        <v>3</v>
      </c>
      <c r="B420" s="5">
        <v>40</v>
      </c>
      <c r="C420" s="5">
        <v>10.91</v>
      </c>
      <c r="D420" s="5">
        <v>-2.87</v>
      </c>
      <c r="E420" s="5">
        <v>0</v>
      </c>
      <c r="F420" s="5">
        <v>24</v>
      </c>
      <c r="G420" s="5">
        <v>13.894</v>
      </c>
      <c r="H420" s="5">
        <v>6.2329999999999997</v>
      </c>
      <c r="I420" s="5">
        <v>17.652999999999999</v>
      </c>
      <c r="J420" s="5"/>
      <c r="K420" s="5">
        <f t="shared" si="20"/>
        <v>3.3347306021801613</v>
      </c>
      <c r="L420" s="5">
        <f t="shared" si="21"/>
        <v>5.612048972199843</v>
      </c>
      <c r="M420" s="5"/>
      <c r="N420" s="6"/>
    </row>
    <row r="421" spans="1:14" x14ac:dyDescent="0.3">
      <c r="A421" s="4">
        <v>4</v>
      </c>
      <c r="B421" s="5">
        <v>40</v>
      </c>
      <c r="C421" s="5">
        <v>10.91</v>
      </c>
      <c r="D421" s="5">
        <v>-2.87</v>
      </c>
      <c r="E421" s="5">
        <v>0</v>
      </c>
      <c r="F421" s="5">
        <v>24</v>
      </c>
      <c r="G421" s="5">
        <v>13.891999999999999</v>
      </c>
      <c r="H421" s="5">
        <v>6.5979999999999999</v>
      </c>
      <c r="I421" s="5">
        <v>17.690000000000001</v>
      </c>
      <c r="J421" s="5"/>
      <c r="K421" s="5">
        <f t="shared" si="20"/>
        <v>3.4309812694050121</v>
      </c>
      <c r="L421" s="5">
        <f t="shared" si="21"/>
        <v>5.6179272116340702</v>
      </c>
      <c r="M421" s="5"/>
      <c r="N421" s="6"/>
    </row>
    <row r="422" spans="1:14" x14ac:dyDescent="0.3">
      <c r="A422" s="4">
        <v>5</v>
      </c>
      <c r="B422" s="5">
        <v>40</v>
      </c>
      <c r="C422" s="5">
        <v>10.91</v>
      </c>
      <c r="D422" s="5">
        <v>-2.87</v>
      </c>
      <c r="E422" s="5">
        <v>0</v>
      </c>
      <c r="F422" s="5">
        <v>24.024999999999999</v>
      </c>
      <c r="G422" s="5">
        <v>13.896000000000001</v>
      </c>
      <c r="H422" s="5">
        <v>6.9749999999999996</v>
      </c>
      <c r="I422" s="5">
        <v>17.872</v>
      </c>
      <c r="J422" s="5"/>
      <c r="K422" s="5">
        <f t="shared" si="20"/>
        <v>3.5276403173711168</v>
      </c>
      <c r="L422" s="5">
        <f t="shared" si="21"/>
        <v>5.6467527159867741</v>
      </c>
      <c r="M422" s="5"/>
      <c r="N422" s="6"/>
    </row>
    <row r="423" spans="1:14" x14ac:dyDescent="0.3">
      <c r="A423" s="4">
        <v>1</v>
      </c>
      <c r="B423" s="5">
        <v>40</v>
      </c>
      <c r="C423" s="5">
        <v>10.91</v>
      </c>
      <c r="D423" s="5">
        <v>-2.87</v>
      </c>
      <c r="E423" s="5">
        <v>0.94</v>
      </c>
      <c r="F423" s="5">
        <v>24</v>
      </c>
      <c r="G423" s="5">
        <v>13.895</v>
      </c>
      <c r="H423" s="5">
        <v>6.64</v>
      </c>
      <c r="I423" s="5">
        <v>16.407</v>
      </c>
      <c r="J423" s="5"/>
      <c r="K423" s="5">
        <f t="shared" si="20"/>
        <v>3.4418840140914857</v>
      </c>
      <c r="L423" s="5">
        <f t="shared" si="21"/>
        <v>5.4103676863350136</v>
      </c>
      <c r="M423" s="5"/>
      <c r="N423" s="6">
        <f>AVERAGE(L423:L427)</f>
        <v>5.4496025564658339</v>
      </c>
    </row>
    <row r="424" spans="1:14" x14ac:dyDescent="0.3">
      <c r="A424" s="4">
        <v>2</v>
      </c>
      <c r="B424" s="5">
        <v>40</v>
      </c>
      <c r="C424" s="5">
        <v>10.79</v>
      </c>
      <c r="D424" s="5">
        <v>-2.87</v>
      </c>
      <c r="E424" s="5">
        <v>0.94</v>
      </c>
      <c r="F424" s="5">
        <v>24.024999999999999</v>
      </c>
      <c r="G424" s="5">
        <v>13.891999999999999</v>
      </c>
      <c r="H424" s="5">
        <v>6.5919999999999996</v>
      </c>
      <c r="I424" s="5">
        <v>16.498000000000001</v>
      </c>
      <c r="J424" s="5"/>
      <c r="K424" s="5">
        <f t="shared" si="20"/>
        <v>3.4294209049176989</v>
      </c>
      <c r="L424" s="5">
        <f t="shared" si="21"/>
        <v>5.4253510062926642</v>
      </c>
      <c r="M424" s="5"/>
      <c r="N424" s="6">
        <f>STDEV(L423:L427)</f>
        <v>3.5866453109743346E-2</v>
      </c>
    </row>
    <row r="425" spans="1:14" x14ac:dyDescent="0.3">
      <c r="A425" s="4">
        <v>3</v>
      </c>
      <c r="B425" s="5">
        <v>40</v>
      </c>
      <c r="C425" s="5">
        <v>10.79</v>
      </c>
      <c r="D425" s="5">
        <v>-2.87</v>
      </c>
      <c r="E425" s="5">
        <v>0.94</v>
      </c>
      <c r="F425" s="5">
        <v>24</v>
      </c>
      <c r="G425" s="5">
        <v>13.897</v>
      </c>
      <c r="H425" s="5">
        <v>7.242</v>
      </c>
      <c r="I425" s="5">
        <v>16.942</v>
      </c>
      <c r="J425" s="5"/>
      <c r="K425" s="5">
        <f t="shared" si="20"/>
        <v>3.5945245306227753</v>
      </c>
      <c r="L425" s="5">
        <f t="shared" si="21"/>
        <v>5.4978708067461648</v>
      </c>
      <c r="M425" s="5"/>
      <c r="N425" s="6"/>
    </row>
    <row r="426" spans="1:14" x14ac:dyDescent="0.3">
      <c r="A426" s="4">
        <v>4</v>
      </c>
      <c r="B426" s="5">
        <v>40</v>
      </c>
      <c r="C426" s="5">
        <v>10.79</v>
      </c>
      <c r="D426" s="5">
        <v>-2.87</v>
      </c>
      <c r="E426" s="5">
        <v>0.94</v>
      </c>
      <c r="F426" s="5">
        <v>24</v>
      </c>
      <c r="G426" s="5">
        <v>13.896000000000001</v>
      </c>
      <c r="H426" s="5">
        <v>7.3639999999999999</v>
      </c>
      <c r="I426" s="5">
        <v>16.795999999999999</v>
      </c>
      <c r="J426" s="5"/>
      <c r="K426" s="5">
        <f t="shared" si="20"/>
        <v>3.6246750754128785</v>
      </c>
      <c r="L426" s="5">
        <f t="shared" si="21"/>
        <v>5.4741302226851758</v>
      </c>
      <c r="M426" s="5"/>
      <c r="N426" s="6"/>
    </row>
    <row r="427" spans="1:14" x14ac:dyDescent="0.3">
      <c r="A427" s="4">
        <v>5</v>
      </c>
      <c r="B427" s="5">
        <v>40</v>
      </c>
      <c r="C427" s="5">
        <v>10.91</v>
      </c>
      <c r="D427" s="5">
        <v>-2.87</v>
      </c>
      <c r="E427" s="5">
        <v>0.94</v>
      </c>
      <c r="F427" s="5">
        <v>24</v>
      </c>
      <c r="G427" s="5">
        <v>13.893000000000001</v>
      </c>
      <c r="H427" s="5">
        <v>6.7439999999999998</v>
      </c>
      <c r="I427" s="5">
        <v>16.588999999999999</v>
      </c>
      <c r="J427" s="5"/>
      <c r="K427" s="5">
        <f t="shared" si="20"/>
        <v>3.4687338012255271</v>
      </c>
      <c r="L427" s="5">
        <f t="shared" si="21"/>
        <v>5.4402930602701494</v>
      </c>
      <c r="M427" s="5"/>
      <c r="N427" s="6"/>
    </row>
    <row r="428" spans="1:14" x14ac:dyDescent="0.3">
      <c r="A428" s="4">
        <v>1</v>
      </c>
      <c r="B428" s="5">
        <v>40</v>
      </c>
      <c r="C428" s="5">
        <v>10.79</v>
      </c>
      <c r="D428" s="5">
        <v>-2.87</v>
      </c>
      <c r="E428" s="5">
        <v>1.65</v>
      </c>
      <c r="F428" s="5">
        <v>24</v>
      </c>
      <c r="G428" s="5">
        <v>13.891</v>
      </c>
      <c r="H428" s="5">
        <v>6.5609999999999999</v>
      </c>
      <c r="I428" s="5">
        <v>14.843999999999999</v>
      </c>
      <c r="J428" s="5"/>
      <c r="K428" s="5">
        <f t="shared" si="20"/>
        <v>3.4213476850736444</v>
      </c>
      <c r="L428" s="5">
        <f t="shared" si="21"/>
        <v>5.1462118959276921</v>
      </c>
      <c r="M428" s="5"/>
      <c r="N428" s="6">
        <f>AVERAGE(L428:L432)</f>
        <v>5.1971276352401174</v>
      </c>
    </row>
    <row r="429" spans="1:14" x14ac:dyDescent="0.3">
      <c r="A429" s="4">
        <v>2</v>
      </c>
      <c r="B429" s="5">
        <v>40</v>
      </c>
      <c r="C429" s="5">
        <v>10.91</v>
      </c>
      <c r="D429" s="5">
        <v>-2.87</v>
      </c>
      <c r="E429" s="5">
        <v>1.65</v>
      </c>
      <c r="F429" s="5">
        <v>24</v>
      </c>
      <c r="G429" s="5">
        <v>13.893000000000001</v>
      </c>
      <c r="H429" s="5">
        <v>6.9569999999999999</v>
      </c>
      <c r="I429" s="5">
        <v>14.862</v>
      </c>
      <c r="J429" s="5"/>
      <c r="K429" s="5">
        <f t="shared" si="20"/>
        <v>3.5230855829766181</v>
      </c>
      <c r="L429" s="5">
        <f t="shared" si="21"/>
        <v>5.1493311275885327</v>
      </c>
      <c r="M429" s="5"/>
      <c r="N429" s="6">
        <f>STDEV(L428:L432)</f>
        <v>5.2138998518235426E-2</v>
      </c>
    </row>
    <row r="430" spans="1:14" x14ac:dyDescent="0.3">
      <c r="A430" s="4">
        <v>3</v>
      </c>
      <c r="B430" s="5">
        <v>40</v>
      </c>
      <c r="C430" s="5">
        <v>10.79</v>
      </c>
      <c r="D430" s="5">
        <v>-2.87</v>
      </c>
      <c r="E430" s="5">
        <v>1.65</v>
      </c>
      <c r="F430" s="5">
        <v>24</v>
      </c>
      <c r="G430" s="5">
        <v>13.894</v>
      </c>
      <c r="H430" s="5">
        <v>7.3090000000000002</v>
      </c>
      <c r="I430" s="5">
        <v>15.5</v>
      </c>
      <c r="J430" s="5"/>
      <c r="K430" s="5">
        <f t="shared" si="20"/>
        <v>3.6111137796676553</v>
      </c>
      <c r="L430" s="5">
        <f t="shared" si="21"/>
        <v>5.258695699873833</v>
      </c>
      <c r="M430" s="5"/>
      <c r="N430" s="6"/>
    </row>
    <row r="431" spans="1:14" x14ac:dyDescent="0.3">
      <c r="A431" s="4">
        <v>4</v>
      </c>
      <c r="B431" s="5">
        <v>40</v>
      </c>
      <c r="C431" s="5">
        <v>10.79</v>
      </c>
      <c r="D431" s="5">
        <v>-2.87</v>
      </c>
      <c r="E431" s="5">
        <v>1.65</v>
      </c>
      <c r="F431" s="5">
        <v>24</v>
      </c>
      <c r="G431" s="5">
        <v>13.891999999999999</v>
      </c>
      <c r="H431" s="5">
        <v>7.1509999999999998</v>
      </c>
      <c r="I431" s="5">
        <v>15.409000000000001</v>
      </c>
      <c r="J431" s="5"/>
      <c r="K431" s="5">
        <f t="shared" si="20"/>
        <v>3.5718694770534598</v>
      </c>
      <c r="L431" s="5">
        <f t="shared" si="21"/>
        <v>5.2432361594466457</v>
      </c>
      <c r="M431" s="5"/>
      <c r="N431" s="6"/>
    </row>
    <row r="432" spans="1:14" x14ac:dyDescent="0.3">
      <c r="A432" s="4">
        <v>5</v>
      </c>
      <c r="B432" s="5">
        <v>40</v>
      </c>
      <c r="C432" s="5">
        <v>11.03</v>
      </c>
      <c r="D432" s="5">
        <v>-2.87</v>
      </c>
      <c r="E432" s="5">
        <v>1.65</v>
      </c>
      <c r="F432" s="5">
        <v>24</v>
      </c>
      <c r="G432" s="5">
        <v>13.895</v>
      </c>
      <c r="H432" s="5">
        <v>6.6470000000000002</v>
      </c>
      <c r="I432" s="5">
        <v>15.087</v>
      </c>
      <c r="J432" s="5"/>
      <c r="K432" s="5">
        <f t="shared" ref="K432:K471" si="22">SQRT(2*(H432)/$N$1)</f>
        <v>3.4436977822829151</v>
      </c>
      <c r="L432" s="5">
        <f t="shared" ref="L432:L471" si="23">SQRT(2*(I432)/$N$1)</f>
        <v>5.1881632933638837</v>
      </c>
      <c r="M432" s="5"/>
      <c r="N432" s="6"/>
    </row>
    <row r="433" spans="1:14" x14ac:dyDescent="0.3">
      <c r="A433" s="4">
        <v>1</v>
      </c>
      <c r="B433" s="5">
        <v>40</v>
      </c>
      <c r="C433" s="5">
        <v>10.91</v>
      </c>
      <c r="D433" s="5">
        <v>-2.87</v>
      </c>
      <c r="E433" s="5">
        <v>2.13</v>
      </c>
      <c r="F433" s="5">
        <v>24</v>
      </c>
      <c r="G433" s="5">
        <v>13.891999999999999</v>
      </c>
      <c r="H433" s="5">
        <v>6.5549999999999997</v>
      </c>
      <c r="I433" s="5">
        <v>13.651999999999999</v>
      </c>
      <c r="J433" s="5"/>
      <c r="K433" s="5">
        <f t="shared" si="22"/>
        <v>3.4197829250169209</v>
      </c>
      <c r="L433" s="5">
        <f t="shared" si="23"/>
        <v>4.9352633429281108</v>
      </c>
      <c r="M433" s="5"/>
      <c r="N433" s="6">
        <f>AVERAGE(L433:L437)</f>
        <v>4.9492519503792138</v>
      </c>
    </row>
    <row r="434" spans="1:14" x14ac:dyDescent="0.3">
      <c r="A434" s="4">
        <v>2</v>
      </c>
      <c r="B434" s="5">
        <v>40</v>
      </c>
      <c r="C434" s="5">
        <v>10.91</v>
      </c>
      <c r="D434" s="5">
        <v>-2.87</v>
      </c>
      <c r="E434" s="5">
        <v>2.13</v>
      </c>
      <c r="F434" s="5">
        <v>24</v>
      </c>
      <c r="G434" s="5">
        <v>13.891999999999999</v>
      </c>
      <c r="H434" s="5">
        <v>6.5609999999999999</v>
      </c>
      <c r="I434" s="5">
        <v>13.603</v>
      </c>
      <c r="J434" s="5"/>
      <c r="K434" s="5">
        <f t="shared" si="22"/>
        <v>3.4213476850736444</v>
      </c>
      <c r="L434" s="5">
        <f t="shared" si="23"/>
        <v>4.9263985140625515</v>
      </c>
      <c r="M434" s="5"/>
      <c r="N434" s="6">
        <f>STDEV(L433:L437)</f>
        <v>2.583685432017347E-2</v>
      </c>
    </row>
    <row r="435" spans="1:14" x14ac:dyDescent="0.3">
      <c r="A435" s="4">
        <v>3</v>
      </c>
      <c r="B435" s="5">
        <v>40</v>
      </c>
      <c r="C435" s="5">
        <v>10.79</v>
      </c>
      <c r="D435" s="5">
        <v>-2.87</v>
      </c>
      <c r="E435" s="5">
        <v>2.13</v>
      </c>
      <c r="F435" s="5">
        <v>24</v>
      </c>
      <c r="G435" s="5">
        <v>13.891999999999999</v>
      </c>
      <c r="H435" s="5">
        <v>6.9809999999999999</v>
      </c>
      <c r="I435" s="5">
        <v>13.786</v>
      </c>
      <c r="J435" s="5"/>
      <c r="K435" s="5">
        <f t="shared" si="22"/>
        <v>3.5291572558705417</v>
      </c>
      <c r="L435" s="5">
        <f t="shared" si="23"/>
        <v>4.9594250191895659</v>
      </c>
      <c r="M435" s="5"/>
      <c r="N435" s="6"/>
    </row>
    <row r="436" spans="1:14" x14ac:dyDescent="0.3">
      <c r="A436" s="4">
        <v>4</v>
      </c>
      <c r="B436" s="5">
        <v>40</v>
      </c>
      <c r="C436" s="5">
        <v>10.79</v>
      </c>
      <c r="D436" s="5">
        <v>-2.87</v>
      </c>
      <c r="E436" s="5">
        <v>2.13</v>
      </c>
      <c r="F436" s="5">
        <v>24</v>
      </c>
      <c r="G436" s="5">
        <v>13.894</v>
      </c>
      <c r="H436" s="5">
        <v>7.4370000000000003</v>
      </c>
      <c r="I436" s="5">
        <v>13.956</v>
      </c>
      <c r="J436" s="5"/>
      <c r="K436" s="5">
        <f t="shared" si="22"/>
        <v>3.642596636837188</v>
      </c>
      <c r="L436" s="5">
        <f t="shared" si="23"/>
        <v>4.9899095327877321</v>
      </c>
      <c r="M436" s="5"/>
      <c r="N436" s="6"/>
    </row>
    <row r="437" spans="1:14" x14ac:dyDescent="0.3">
      <c r="A437" s="4">
        <v>5</v>
      </c>
      <c r="B437" s="5">
        <v>40</v>
      </c>
      <c r="C437" s="5">
        <v>10.91</v>
      </c>
      <c r="D437" s="5">
        <v>-2.87</v>
      </c>
      <c r="E437" s="5">
        <v>2.13</v>
      </c>
      <c r="F437" s="5">
        <v>24</v>
      </c>
      <c r="G437" s="5">
        <v>13.888999999999999</v>
      </c>
      <c r="H437" s="5">
        <v>6.9260000000000002</v>
      </c>
      <c r="I437" s="5">
        <v>13.651999999999999</v>
      </c>
      <c r="J437" s="5"/>
      <c r="K437" s="5">
        <f t="shared" si="22"/>
        <v>3.515227483968848</v>
      </c>
      <c r="L437" s="5">
        <f t="shared" si="23"/>
        <v>4.9352633429281108</v>
      </c>
      <c r="M437" s="5"/>
      <c r="N437" s="6"/>
    </row>
    <row r="438" spans="1:14" x14ac:dyDescent="0.3">
      <c r="A438" s="4">
        <v>1</v>
      </c>
      <c r="B438" s="5">
        <v>40</v>
      </c>
      <c r="C438" s="5">
        <v>10.79</v>
      </c>
      <c r="D438" s="5">
        <v>-2.87</v>
      </c>
      <c r="E438" s="5">
        <v>2.52</v>
      </c>
      <c r="F438" s="5">
        <v>24</v>
      </c>
      <c r="G438" s="5">
        <v>13.891999999999999</v>
      </c>
      <c r="H438" s="5">
        <v>6.5069999999999997</v>
      </c>
      <c r="I438" s="5">
        <v>11.025</v>
      </c>
      <c r="J438" s="5"/>
      <c r="K438" s="5">
        <f t="shared" si="22"/>
        <v>3.4072389747220986</v>
      </c>
      <c r="L438" s="5">
        <f t="shared" si="23"/>
        <v>4.4350803325028725</v>
      </c>
      <c r="M438" s="5"/>
      <c r="N438" s="6">
        <f>AVERAGE(L438:L442)</f>
        <v>4.498949322199687</v>
      </c>
    </row>
    <row r="439" spans="1:14" x14ac:dyDescent="0.3">
      <c r="A439" s="4">
        <v>2</v>
      </c>
      <c r="B439" s="5">
        <v>40</v>
      </c>
      <c r="C439" s="5">
        <v>10.91</v>
      </c>
      <c r="D439" s="5">
        <v>-2.87</v>
      </c>
      <c r="E439" s="5">
        <v>2.52</v>
      </c>
      <c r="F439" s="5">
        <v>24</v>
      </c>
      <c r="G439" s="5">
        <v>13.893000000000001</v>
      </c>
      <c r="H439" s="5">
        <v>7.5949999999999998</v>
      </c>
      <c r="I439" s="5">
        <v>11.852</v>
      </c>
      <c r="J439" s="5"/>
      <c r="K439" s="5">
        <f t="shared" si="22"/>
        <v>3.6810869899116829</v>
      </c>
      <c r="L439" s="5">
        <f t="shared" si="23"/>
        <v>4.5984134098186908</v>
      </c>
      <c r="M439" s="5"/>
      <c r="N439" s="6">
        <f>STDEV(L438:L442)</f>
        <v>7.2770541921617055E-2</v>
      </c>
    </row>
    <row r="440" spans="1:14" x14ac:dyDescent="0.3">
      <c r="A440" s="4">
        <v>3</v>
      </c>
      <c r="B440" s="5">
        <v>40</v>
      </c>
      <c r="C440" s="5">
        <v>10.79</v>
      </c>
      <c r="D440" s="5">
        <v>-2.87</v>
      </c>
      <c r="E440" s="5">
        <v>2.52</v>
      </c>
      <c r="F440" s="5">
        <v>24</v>
      </c>
      <c r="G440" s="5">
        <v>13.894</v>
      </c>
      <c r="H440" s="5">
        <v>6.8959999999999999</v>
      </c>
      <c r="I440" s="5">
        <v>10.981999999999999</v>
      </c>
      <c r="J440" s="5"/>
      <c r="K440" s="5">
        <f t="shared" si="22"/>
        <v>3.5076061102185436</v>
      </c>
      <c r="L440" s="5">
        <f t="shared" si="23"/>
        <v>4.4264229733480116</v>
      </c>
      <c r="M440" s="5"/>
      <c r="N440" s="6"/>
    </row>
    <row r="441" spans="1:14" x14ac:dyDescent="0.3">
      <c r="A441" s="4">
        <v>4</v>
      </c>
      <c r="B441" s="5">
        <v>40</v>
      </c>
      <c r="C441" s="5">
        <v>10.79</v>
      </c>
      <c r="D441" s="5">
        <v>-2.87</v>
      </c>
      <c r="E441" s="5">
        <v>2.52</v>
      </c>
      <c r="F441" s="5">
        <v>24</v>
      </c>
      <c r="G441" s="5">
        <v>13.9</v>
      </c>
      <c r="H441" s="5">
        <v>7.2670000000000003</v>
      </c>
      <c r="I441" s="5">
        <v>11.566000000000001</v>
      </c>
      <c r="J441" s="5"/>
      <c r="K441" s="5">
        <f t="shared" si="22"/>
        <v>3.6007234876140002</v>
      </c>
      <c r="L441" s="5">
        <f t="shared" si="23"/>
        <v>4.5425925626242245</v>
      </c>
      <c r="M441" s="5"/>
      <c r="N441" s="6"/>
    </row>
    <row r="442" spans="1:14" x14ac:dyDescent="0.3">
      <c r="A442" s="4">
        <v>5</v>
      </c>
      <c r="B442" s="5">
        <v>40</v>
      </c>
      <c r="C442" s="5">
        <v>10.91</v>
      </c>
      <c r="D442" s="5">
        <v>-2.87</v>
      </c>
      <c r="E442" s="5">
        <v>2.52</v>
      </c>
      <c r="F442" s="5">
        <v>24</v>
      </c>
      <c r="G442" s="5">
        <v>13.895</v>
      </c>
      <c r="H442" s="5">
        <v>6.726</v>
      </c>
      <c r="I442" s="5">
        <v>11.311</v>
      </c>
      <c r="J442" s="5"/>
      <c r="K442" s="5">
        <f t="shared" si="22"/>
        <v>3.4641016151377544</v>
      </c>
      <c r="L442" s="5">
        <f t="shared" si="23"/>
        <v>4.4922373327046321</v>
      </c>
      <c r="M442" s="5"/>
      <c r="N442" s="6"/>
    </row>
    <row r="443" spans="1:14" x14ac:dyDescent="0.3">
      <c r="A443" s="4">
        <v>1</v>
      </c>
      <c r="B443" s="5">
        <v>40</v>
      </c>
      <c r="C443" s="5">
        <v>10.91</v>
      </c>
      <c r="D443" s="5">
        <v>-2.87</v>
      </c>
      <c r="E443" s="5">
        <v>2.83</v>
      </c>
      <c r="F443" s="5">
        <v>24</v>
      </c>
      <c r="G443" s="5">
        <v>13.89</v>
      </c>
      <c r="H443" s="5">
        <v>6.7919999999999998</v>
      </c>
      <c r="I443" s="5">
        <v>8.1850000000000005</v>
      </c>
      <c r="J443" s="5"/>
      <c r="K443" s="5">
        <f t="shared" si="22"/>
        <v>3.4810561625944052</v>
      </c>
      <c r="L443" s="5">
        <f t="shared" si="23"/>
        <v>3.8213915013047832</v>
      </c>
      <c r="M443" s="5"/>
      <c r="N443" s="6">
        <f>AVERAGE(L443:L447)</f>
        <v>3.857256044796614</v>
      </c>
    </row>
    <row r="444" spans="1:14" x14ac:dyDescent="0.3">
      <c r="A444" s="4">
        <v>2</v>
      </c>
      <c r="B444" s="5">
        <v>40</v>
      </c>
      <c r="C444" s="5">
        <v>10.79</v>
      </c>
      <c r="D444" s="5">
        <v>-2.87</v>
      </c>
      <c r="E444" s="5">
        <v>2.83</v>
      </c>
      <c r="F444" s="5">
        <v>24</v>
      </c>
      <c r="G444" s="5">
        <v>13.89</v>
      </c>
      <c r="H444" s="5">
        <v>7.1150000000000002</v>
      </c>
      <c r="I444" s="5">
        <v>8.3190000000000008</v>
      </c>
      <c r="J444" s="5"/>
      <c r="K444" s="5">
        <f t="shared" si="22"/>
        <v>3.5628672713949312</v>
      </c>
      <c r="L444" s="5">
        <f t="shared" si="23"/>
        <v>3.8525452967042315</v>
      </c>
      <c r="M444" s="5"/>
      <c r="N444" s="6">
        <f>STDEV(L443:L447)</f>
        <v>2.3290750176399741E-2</v>
      </c>
    </row>
    <row r="445" spans="1:14" x14ac:dyDescent="0.3">
      <c r="A445" s="4">
        <v>3</v>
      </c>
      <c r="B445" s="5">
        <v>40</v>
      </c>
      <c r="C445" s="5">
        <v>10.79</v>
      </c>
      <c r="D445" s="5">
        <v>-2.87</v>
      </c>
      <c r="E445" s="5">
        <v>2.83</v>
      </c>
      <c r="F445" s="5">
        <v>24</v>
      </c>
      <c r="G445" s="5">
        <v>13.888999999999999</v>
      </c>
      <c r="H445" s="5">
        <v>6.9260000000000002</v>
      </c>
      <c r="I445" s="5">
        <v>8.3800000000000008</v>
      </c>
      <c r="J445" s="5"/>
      <c r="K445" s="5">
        <f t="shared" si="22"/>
        <v>3.515227483968848</v>
      </c>
      <c r="L445" s="5">
        <f t="shared" si="23"/>
        <v>3.8666441087450929</v>
      </c>
      <c r="M445" s="5"/>
      <c r="N445" s="6"/>
    </row>
    <row r="446" spans="1:14" x14ac:dyDescent="0.3">
      <c r="A446" s="4">
        <v>4</v>
      </c>
      <c r="B446" s="5">
        <v>40</v>
      </c>
      <c r="C446" s="5">
        <v>11.03</v>
      </c>
      <c r="D446" s="5">
        <v>-2.87</v>
      </c>
      <c r="E446" s="5">
        <v>2.83</v>
      </c>
      <c r="F446" s="5">
        <v>24</v>
      </c>
      <c r="G446" s="5">
        <v>13.891999999999999</v>
      </c>
      <c r="H446" s="5">
        <v>6.9809999999999999</v>
      </c>
      <c r="I446" s="5">
        <v>8.4589999999999996</v>
      </c>
      <c r="J446" s="5"/>
      <c r="K446" s="5">
        <f t="shared" si="22"/>
        <v>3.5291572558705417</v>
      </c>
      <c r="L446" s="5">
        <f t="shared" si="23"/>
        <v>3.8848271838001835</v>
      </c>
      <c r="M446" s="5"/>
      <c r="N446" s="6"/>
    </row>
    <row r="447" spans="1:14" ht="15" thickBot="1" x14ac:dyDescent="0.35">
      <c r="A447" s="4">
        <v>5</v>
      </c>
      <c r="B447" s="5">
        <v>40</v>
      </c>
      <c r="C447" s="5">
        <v>10.79</v>
      </c>
      <c r="D447" s="5">
        <v>-2.87</v>
      </c>
      <c r="E447" s="5">
        <v>2.83</v>
      </c>
      <c r="F447" s="5">
        <v>24</v>
      </c>
      <c r="G447" s="5">
        <v>13.888999999999999</v>
      </c>
      <c r="H447" s="5">
        <v>7.3460000000000001</v>
      </c>
      <c r="I447" s="5">
        <v>8.3550000000000004</v>
      </c>
      <c r="J447" s="5"/>
      <c r="K447" s="5">
        <f t="shared" si="22"/>
        <v>3.6202424253846401</v>
      </c>
      <c r="L447" s="5">
        <f t="shared" si="23"/>
        <v>3.8608721334287783</v>
      </c>
      <c r="M447" s="5"/>
      <c r="N447" s="6"/>
    </row>
    <row r="448" spans="1:14" x14ac:dyDescent="0.3">
      <c r="A448" s="1">
        <v>1</v>
      </c>
      <c r="B448" s="2">
        <v>60</v>
      </c>
      <c r="C448" s="2">
        <v>15.68</v>
      </c>
      <c r="D448" s="2">
        <v>-2.87</v>
      </c>
      <c r="E448" s="2">
        <v>-2.2400000000000002</v>
      </c>
      <c r="F448" s="2">
        <v>23.5</v>
      </c>
      <c r="G448" s="2">
        <v>13.885999999999999</v>
      </c>
      <c r="H448" s="2">
        <v>17.111999999999998</v>
      </c>
      <c r="I448" s="2">
        <v>31.05</v>
      </c>
      <c r="J448" s="2"/>
      <c r="K448" s="2">
        <f t="shared" si="22"/>
        <v>5.5253854193272511</v>
      </c>
      <c r="L448" s="2">
        <f t="shared" si="23"/>
        <v>7.4429138778945694</v>
      </c>
      <c r="M448" s="2"/>
      <c r="N448" s="3">
        <f>AVERAGE(L448:L452)</f>
        <v>7.474855157835302</v>
      </c>
    </row>
    <row r="449" spans="1:14" x14ac:dyDescent="0.3">
      <c r="A449" s="4">
        <v>2</v>
      </c>
      <c r="B449" s="5">
        <v>60</v>
      </c>
      <c r="C449" s="5">
        <v>15.43</v>
      </c>
      <c r="D449" s="5">
        <v>-2.87</v>
      </c>
      <c r="E449" s="5">
        <v>-2.2400000000000002</v>
      </c>
      <c r="F449" s="5">
        <v>23.5</v>
      </c>
      <c r="G449" s="5">
        <v>13.893000000000001</v>
      </c>
      <c r="H449" s="5">
        <v>16.521999999999998</v>
      </c>
      <c r="I449" s="5">
        <v>30.763999999999999</v>
      </c>
      <c r="J449" s="5"/>
      <c r="K449" s="5">
        <f t="shared" si="22"/>
        <v>5.4292957603327165</v>
      </c>
      <c r="L449" s="5">
        <f t="shared" si="23"/>
        <v>7.4085564245785518</v>
      </c>
      <c r="M449" s="5"/>
      <c r="N449" s="6">
        <f>STDEV(L448:L452)</f>
        <v>5.83346997682705E-2</v>
      </c>
    </row>
    <row r="450" spans="1:14" x14ac:dyDescent="0.3">
      <c r="A450" s="4">
        <v>3</v>
      </c>
      <c r="B450" s="5">
        <v>60</v>
      </c>
      <c r="C450" s="5">
        <v>15.76</v>
      </c>
      <c r="D450" s="5">
        <v>-2.87</v>
      </c>
      <c r="E450" s="5">
        <v>-2.2400000000000002</v>
      </c>
      <c r="F450" s="5">
        <v>23.5</v>
      </c>
      <c r="G450" s="5">
        <v>13.885</v>
      </c>
      <c r="H450" s="5">
        <v>17.251999999999999</v>
      </c>
      <c r="I450" s="5">
        <v>31.652000000000001</v>
      </c>
      <c r="J450" s="5"/>
      <c r="K450" s="5">
        <f t="shared" si="22"/>
        <v>5.547942052414494</v>
      </c>
      <c r="L450" s="5">
        <f t="shared" si="23"/>
        <v>7.5147194244726094</v>
      </c>
      <c r="M450" s="5"/>
      <c r="N450" s="6"/>
    </row>
    <row r="451" spans="1:14" x14ac:dyDescent="0.3">
      <c r="A451" s="4">
        <v>4</v>
      </c>
      <c r="B451" s="5">
        <v>60</v>
      </c>
      <c r="C451" s="5">
        <v>15.43</v>
      </c>
      <c r="D451" s="5">
        <v>-2.87</v>
      </c>
      <c r="E451" s="5">
        <v>-2.2400000000000002</v>
      </c>
      <c r="F451" s="5">
        <v>23.5</v>
      </c>
      <c r="G451" s="5">
        <v>13.895</v>
      </c>
      <c r="H451" s="5">
        <v>15.840999999999999</v>
      </c>
      <c r="I451" s="5">
        <v>31.146999999999998</v>
      </c>
      <c r="J451" s="5"/>
      <c r="K451" s="5">
        <f t="shared" si="22"/>
        <v>5.3162266537532723</v>
      </c>
      <c r="L451" s="5">
        <f t="shared" si="23"/>
        <v>7.4545306198190513</v>
      </c>
      <c r="M451" s="5"/>
      <c r="N451" s="6"/>
    </row>
    <row r="452" spans="1:14" x14ac:dyDescent="0.3">
      <c r="A452" s="4">
        <v>5</v>
      </c>
      <c r="B452" s="5">
        <v>60</v>
      </c>
      <c r="C452" s="5">
        <v>15.51</v>
      </c>
      <c r="D452" s="5">
        <v>-2.87</v>
      </c>
      <c r="E452" s="5">
        <v>-2.2400000000000002</v>
      </c>
      <c r="F452" s="5">
        <v>23.5</v>
      </c>
      <c r="G452" s="5">
        <v>13.888</v>
      </c>
      <c r="H452" s="5">
        <v>17.324999999999999</v>
      </c>
      <c r="I452" s="5">
        <v>31.98</v>
      </c>
      <c r="J452" s="5"/>
      <c r="K452" s="5">
        <f t="shared" si="22"/>
        <v>5.5596674247051308</v>
      </c>
      <c r="L452" s="5">
        <f t="shared" si="23"/>
        <v>7.5535554424117297</v>
      </c>
      <c r="M452" s="5"/>
      <c r="N452" s="6"/>
    </row>
    <row r="453" spans="1:14" x14ac:dyDescent="0.3">
      <c r="A453" s="4">
        <v>1</v>
      </c>
      <c r="B453" s="5">
        <v>60</v>
      </c>
      <c r="C453" s="5">
        <v>15.6</v>
      </c>
      <c r="D453" s="5">
        <v>-2.87</v>
      </c>
      <c r="E453" s="5">
        <v>-1.97</v>
      </c>
      <c r="F453" s="5">
        <v>23.75</v>
      </c>
      <c r="G453" s="5">
        <v>13.894</v>
      </c>
      <c r="H453" s="5">
        <v>17.707999999999998</v>
      </c>
      <c r="I453" s="5">
        <v>35.148000000000003</v>
      </c>
      <c r="J453" s="5"/>
      <c r="K453" s="5">
        <f t="shared" si="22"/>
        <v>5.6207846728889237</v>
      </c>
      <c r="L453" s="5">
        <f t="shared" si="23"/>
        <v>7.9188569985913482</v>
      </c>
      <c r="M453" s="5"/>
      <c r="N453" s="6">
        <f>AVERAGE(L453:L457)</f>
        <v>7.9467553281333094</v>
      </c>
    </row>
    <row r="454" spans="1:14" x14ac:dyDescent="0.3">
      <c r="A454" s="4">
        <v>2</v>
      </c>
      <c r="B454" s="5">
        <v>60</v>
      </c>
      <c r="C454" s="5">
        <v>15.6</v>
      </c>
      <c r="D454" s="5">
        <v>-2.87</v>
      </c>
      <c r="E454" s="5">
        <v>-1.97</v>
      </c>
      <c r="F454" s="5">
        <v>23.75</v>
      </c>
      <c r="G454" s="5">
        <v>13.89</v>
      </c>
      <c r="H454" s="5">
        <v>17.001999999999999</v>
      </c>
      <c r="I454" s="5">
        <v>35.305999999999997</v>
      </c>
      <c r="J454" s="5"/>
      <c r="K454" s="5">
        <f t="shared" si="22"/>
        <v>5.5075975422035608</v>
      </c>
      <c r="L454" s="5">
        <f t="shared" si="23"/>
        <v>7.9366357691870064</v>
      </c>
      <c r="M454" s="5"/>
      <c r="N454" s="6">
        <f>STDEV(L453:L457)</f>
        <v>5.4034435713544944E-2</v>
      </c>
    </row>
    <row r="455" spans="1:14" x14ac:dyDescent="0.3">
      <c r="A455" s="4">
        <v>3</v>
      </c>
      <c r="B455" s="5">
        <v>60</v>
      </c>
      <c r="C455" s="5">
        <v>15.43</v>
      </c>
      <c r="D455" s="5">
        <v>-2.87</v>
      </c>
      <c r="E455" s="5">
        <v>-1.97</v>
      </c>
      <c r="F455" s="5">
        <v>23.75</v>
      </c>
      <c r="G455" s="5">
        <v>13.895</v>
      </c>
      <c r="H455" s="5">
        <v>17.744</v>
      </c>
      <c r="I455" s="5">
        <v>36.072000000000003</v>
      </c>
      <c r="J455" s="5"/>
      <c r="K455" s="5">
        <f t="shared" si="22"/>
        <v>5.6264952418456771</v>
      </c>
      <c r="L455" s="5">
        <f t="shared" si="23"/>
        <v>8.0222705180048592</v>
      </c>
      <c r="M455" s="5"/>
      <c r="N455" s="6"/>
    </row>
    <row r="456" spans="1:14" x14ac:dyDescent="0.3">
      <c r="A456" s="4">
        <v>4</v>
      </c>
      <c r="B456" s="5">
        <v>60</v>
      </c>
      <c r="C456" s="5">
        <v>15.68</v>
      </c>
      <c r="D456" s="5">
        <v>-2.87</v>
      </c>
      <c r="E456" s="5">
        <v>-1.97</v>
      </c>
      <c r="F456" s="5">
        <v>23.75</v>
      </c>
      <c r="G456" s="5">
        <v>13.893000000000001</v>
      </c>
      <c r="H456" s="5">
        <v>16.686</v>
      </c>
      <c r="I456" s="5">
        <v>35.646999999999998</v>
      </c>
      <c r="J456" s="5"/>
      <c r="K456" s="5">
        <f t="shared" si="22"/>
        <v>5.4561752491729747</v>
      </c>
      <c r="L456" s="5">
        <f t="shared" si="23"/>
        <v>7.97487132830015</v>
      </c>
      <c r="M456" s="5"/>
      <c r="N456" s="6"/>
    </row>
    <row r="457" spans="1:14" x14ac:dyDescent="0.3">
      <c r="A457" s="4">
        <v>5</v>
      </c>
      <c r="B457" s="5">
        <v>60</v>
      </c>
      <c r="C457" s="5">
        <v>15.6</v>
      </c>
      <c r="D457" s="5">
        <v>-2.87</v>
      </c>
      <c r="E457" s="5">
        <v>-1.97</v>
      </c>
      <c r="F457" s="5">
        <v>23.85</v>
      </c>
      <c r="G457" s="5">
        <v>13.898999999999999</v>
      </c>
      <c r="H457" s="5">
        <v>16.93</v>
      </c>
      <c r="I457" s="5">
        <v>34.814</v>
      </c>
      <c r="J457" s="5"/>
      <c r="K457" s="5">
        <f t="shared" si="22"/>
        <v>5.4959233939192353</v>
      </c>
      <c r="L457" s="5">
        <f t="shared" si="23"/>
        <v>7.8811420265831869</v>
      </c>
      <c r="M457" s="5"/>
      <c r="N457" s="6"/>
    </row>
    <row r="458" spans="1:14" x14ac:dyDescent="0.3">
      <c r="A458" s="4">
        <v>1</v>
      </c>
      <c r="B458" s="5">
        <v>60</v>
      </c>
      <c r="C458" s="5">
        <v>15.43</v>
      </c>
      <c r="D458" s="5">
        <v>-2.87</v>
      </c>
      <c r="E458" s="5">
        <v>-1.5</v>
      </c>
      <c r="F458" s="5">
        <v>24.074999999999999</v>
      </c>
      <c r="G458" s="5">
        <v>13.894</v>
      </c>
      <c r="H458" s="5">
        <v>18.193999999999999</v>
      </c>
      <c r="I458" s="5">
        <v>39.027999999999999</v>
      </c>
      <c r="J458" s="5"/>
      <c r="K458" s="5">
        <f t="shared" si="22"/>
        <v>5.6973944308450717</v>
      </c>
      <c r="L458" s="5">
        <f t="shared" si="23"/>
        <v>8.344500397669611</v>
      </c>
      <c r="M458" s="5"/>
      <c r="N458" s="6">
        <f>AVERAGE(L458:L462)</f>
        <v>8.2917464215751799</v>
      </c>
    </row>
    <row r="459" spans="1:14" x14ac:dyDescent="0.3">
      <c r="A459" s="4">
        <v>2</v>
      </c>
      <c r="B459" s="5">
        <v>60</v>
      </c>
      <c r="C459" s="5">
        <v>15.51</v>
      </c>
      <c r="D459" s="5">
        <v>-2.87</v>
      </c>
      <c r="E459" s="5">
        <v>-1.5</v>
      </c>
      <c r="F459" s="5">
        <v>24.024999999999999</v>
      </c>
      <c r="G459" s="5">
        <v>13.894</v>
      </c>
      <c r="H459" s="5">
        <v>17.75</v>
      </c>
      <c r="I459" s="5">
        <v>39.259</v>
      </c>
      <c r="J459" s="5"/>
      <c r="K459" s="5">
        <f t="shared" si="22"/>
        <v>5.6274464399435686</v>
      </c>
      <c r="L459" s="5">
        <f t="shared" si="23"/>
        <v>8.3691587935518346</v>
      </c>
      <c r="M459" s="5"/>
      <c r="N459" s="6">
        <f>STDEV(L458:L462)</f>
        <v>8.0567063690268947E-2</v>
      </c>
    </row>
    <row r="460" spans="1:14" x14ac:dyDescent="0.3">
      <c r="A460" s="4">
        <v>3</v>
      </c>
      <c r="B460" s="5">
        <v>60</v>
      </c>
      <c r="C460" s="5">
        <v>15.43</v>
      </c>
      <c r="D460" s="5">
        <v>-2.87</v>
      </c>
      <c r="E460" s="5">
        <v>-1.5</v>
      </c>
      <c r="F460" s="5">
        <v>24.024999999999999</v>
      </c>
      <c r="G460" s="5">
        <v>13.89</v>
      </c>
      <c r="H460" s="5">
        <v>18.207000000000001</v>
      </c>
      <c r="I460" s="5">
        <v>38.948999999999998</v>
      </c>
      <c r="J460" s="5"/>
      <c r="K460" s="5">
        <f t="shared" si="22"/>
        <v>5.6994295221353246</v>
      </c>
      <c r="L460" s="5">
        <f t="shared" si="23"/>
        <v>8.3360507017657088</v>
      </c>
      <c r="M460" s="5"/>
      <c r="N460" s="6"/>
    </row>
    <row r="461" spans="1:14" x14ac:dyDescent="0.3">
      <c r="A461" s="4">
        <v>4</v>
      </c>
      <c r="B461" s="5">
        <v>60</v>
      </c>
      <c r="C461" s="5">
        <v>15.51</v>
      </c>
      <c r="D461" s="5">
        <v>-2.87</v>
      </c>
      <c r="E461" s="5">
        <v>-1.5</v>
      </c>
      <c r="F461" s="5">
        <v>24.1</v>
      </c>
      <c r="G461" s="5">
        <v>13.894</v>
      </c>
      <c r="H461" s="5">
        <v>18.286000000000001</v>
      </c>
      <c r="I461" s="5">
        <v>37.713999999999999</v>
      </c>
      <c r="J461" s="5"/>
      <c r="K461" s="5">
        <f t="shared" si="22"/>
        <v>5.7117810236464264</v>
      </c>
      <c r="L461" s="5">
        <f t="shared" si="23"/>
        <v>8.2028258223553721</v>
      </c>
      <c r="M461" s="5"/>
      <c r="N461" s="6"/>
    </row>
    <row r="462" spans="1:14" x14ac:dyDescent="0.3">
      <c r="A462" s="4">
        <v>5</v>
      </c>
      <c r="B462" s="5">
        <v>60</v>
      </c>
      <c r="C462" s="5">
        <v>15.51</v>
      </c>
      <c r="D462" s="5">
        <v>-2.87</v>
      </c>
      <c r="E462" s="5">
        <v>-1.5</v>
      </c>
      <c r="F462" s="5">
        <v>24</v>
      </c>
      <c r="G462" s="5">
        <v>13.897</v>
      </c>
      <c r="H462" s="5">
        <v>17.221</v>
      </c>
      <c r="I462" s="5">
        <v>37.744999999999997</v>
      </c>
      <c r="J462" s="5"/>
      <c r="K462" s="5">
        <f t="shared" si="22"/>
        <v>5.5429552817988172</v>
      </c>
      <c r="L462" s="5">
        <f t="shared" si="23"/>
        <v>8.2061963925333785</v>
      </c>
      <c r="M462" s="5"/>
      <c r="N462" s="6"/>
    </row>
    <row r="463" spans="1:14" x14ac:dyDescent="0.3">
      <c r="A463" s="4">
        <v>1</v>
      </c>
      <c r="B463" s="5">
        <v>60</v>
      </c>
      <c r="C463" s="5">
        <v>15.51</v>
      </c>
      <c r="D463" s="5">
        <v>-2.87</v>
      </c>
      <c r="E463" s="5">
        <v>-0.75</v>
      </c>
      <c r="F463" s="5">
        <v>24</v>
      </c>
      <c r="G463" s="5">
        <v>13.888999999999999</v>
      </c>
      <c r="H463" s="5">
        <v>17.786999999999999</v>
      </c>
      <c r="I463" s="5">
        <v>39.332000000000001</v>
      </c>
      <c r="J463" s="5"/>
      <c r="K463" s="5">
        <f t="shared" si="22"/>
        <v>5.6333086124659264</v>
      </c>
      <c r="L463" s="5">
        <f t="shared" si="23"/>
        <v>8.3769361802549405</v>
      </c>
      <c r="M463" s="5"/>
      <c r="N463" s="6">
        <f>AVERAGE(L463:L467)</f>
        <v>8.3503938585122306</v>
      </c>
    </row>
    <row r="464" spans="1:14" x14ac:dyDescent="0.3">
      <c r="A464" s="4">
        <v>2</v>
      </c>
      <c r="B464" s="5">
        <v>60</v>
      </c>
      <c r="C464" s="5">
        <v>15.43</v>
      </c>
      <c r="D464" s="5">
        <v>-2.87</v>
      </c>
      <c r="E464" s="5">
        <v>-0.75</v>
      </c>
      <c r="F464" s="5">
        <v>24</v>
      </c>
      <c r="G464" s="5">
        <v>13.887</v>
      </c>
      <c r="H464" s="5">
        <v>18.266999999999999</v>
      </c>
      <c r="I464" s="5">
        <v>39.447000000000003</v>
      </c>
      <c r="J464" s="5"/>
      <c r="K464" s="5">
        <f t="shared" si="22"/>
        <v>5.7088128500593429</v>
      </c>
      <c r="L464" s="5">
        <f t="shared" si="23"/>
        <v>8.3891736017257958</v>
      </c>
      <c r="M464" s="5"/>
      <c r="N464" s="6">
        <f>STDEV(L463:L467)</f>
        <v>3.8132402550844782E-2</v>
      </c>
    </row>
    <row r="465" spans="1:14" x14ac:dyDescent="0.3">
      <c r="A465" s="4">
        <v>3</v>
      </c>
      <c r="B465" s="5">
        <v>60</v>
      </c>
      <c r="C465" s="5">
        <v>15.43</v>
      </c>
      <c r="D465" s="5">
        <v>-2.87</v>
      </c>
      <c r="E465" s="5">
        <v>-0.75</v>
      </c>
      <c r="F465" s="5">
        <v>24</v>
      </c>
      <c r="G465" s="5">
        <v>13.888999999999999</v>
      </c>
      <c r="H465" s="5">
        <v>16.388000000000002</v>
      </c>
      <c r="I465" s="5">
        <v>38.546999999999997</v>
      </c>
      <c r="J465" s="5"/>
      <c r="K465" s="5">
        <f t="shared" si="22"/>
        <v>5.4072340615376868</v>
      </c>
      <c r="L465" s="5">
        <f t="shared" si="23"/>
        <v>8.2929201450193748</v>
      </c>
      <c r="M465" s="5"/>
      <c r="N465" s="6"/>
    </row>
    <row r="466" spans="1:14" x14ac:dyDescent="0.3">
      <c r="A466" s="4">
        <v>4</v>
      </c>
      <c r="B466" s="5">
        <v>60</v>
      </c>
      <c r="C466" s="5">
        <v>15.6</v>
      </c>
      <c r="D466" s="5">
        <v>-2.87</v>
      </c>
      <c r="E466" s="5">
        <v>-0.75</v>
      </c>
      <c r="F466" s="5">
        <v>24</v>
      </c>
      <c r="G466" s="5">
        <v>13.891999999999999</v>
      </c>
      <c r="H466" s="5">
        <v>17.167000000000002</v>
      </c>
      <c r="I466" s="5">
        <v>39.155999999999999</v>
      </c>
      <c r="J466" s="5"/>
      <c r="K466" s="5">
        <f t="shared" si="22"/>
        <v>5.5342579181610176</v>
      </c>
      <c r="L466" s="5">
        <f t="shared" si="23"/>
        <v>8.3581729113305787</v>
      </c>
      <c r="M466" s="5"/>
      <c r="N466" s="6"/>
    </row>
    <row r="467" spans="1:14" x14ac:dyDescent="0.3">
      <c r="A467" s="4">
        <v>5</v>
      </c>
      <c r="B467" s="5">
        <v>60</v>
      </c>
      <c r="C467" s="5">
        <v>15.43</v>
      </c>
      <c r="D467" s="5">
        <v>-2.87</v>
      </c>
      <c r="E467" s="5">
        <v>-0.75</v>
      </c>
      <c r="F467" s="5">
        <v>24</v>
      </c>
      <c r="G467" s="5">
        <v>13.891</v>
      </c>
      <c r="H467" s="5">
        <v>17.744</v>
      </c>
      <c r="I467" s="5">
        <v>38.936999999999998</v>
      </c>
      <c r="J467" s="5"/>
      <c r="K467" s="5">
        <f t="shared" si="22"/>
        <v>5.6264952418456771</v>
      </c>
      <c r="L467" s="5">
        <f t="shared" si="23"/>
        <v>8.3347664542304702</v>
      </c>
      <c r="M467" s="5"/>
      <c r="N467" s="6"/>
    </row>
    <row r="468" spans="1:14" x14ac:dyDescent="0.3">
      <c r="A468" s="4">
        <v>1</v>
      </c>
      <c r="B468" s="5">
        <v>60</v>
      </c>
      <c r="C468" s="5">
        <v>15.51</v>
      </c>
      <c r="D468" s="5">
        <v>-2.87</v>
      </c>
      <c r="E468" s="5">
        <v>-0.47</v>
      </c>
      <c r="F468" s="5">
        <v>23.975000000000001</v>
      </c>
      <c r="G468" s="5">
        <v>13.89</v>
      </c>
      <c r="H468" s="5">
        <v>17.082000000000001</v>
      </c>
      <c r="I468" s="5">
        <v>38.680999999999997</v>
      </c>
      <c r="J468" s="5"/>
      <c r="K468" s="5">
        <f t="shared" si="22"/>
        <v>5.5205398642258432</v>
      </c>
      <c r="L468" s="5">
        <f t="shared" si="23"/>
        <v>8.307321878233779</v>
      </c>
      <c r="M468" s="5"/>
      <c r="N468" s="6">
        <f>AVERAGE(L468:L472)</f>
        <v>8.2902593364061321</v>
      </c>
    </row>
    <row r="469" spans="1:14" x14ac:dyDescent="0.3">
      <c r="A469" s="4">
        <v>2</v>
      </c>
      <c r="B469" s="5">
        <v>60</v>
      </c>
      <c r="C469" s="5">
        <v>15.51</v>
      </c>
      <c r="D469" s="5">
        <v>-2.87</v>
      </c>
      <c r="E469" s="5">
        <v>-0.47</v>
      </c>
      <c r="F469" s="5">
        <v>24</v>
      </c>
      <c r="G469" s="5">
        <v>13.888999999999999</v>
      </c>
      <c r="H469" s="5">
        <v>16.832000000000001</v>
      </c>
      <c r="I469" s="5">
        <v>38.493000000000002</v>
      </c>
      <c r="J469" s="5"/>
      <c r="K469" s="5">
        <f t="shared" si="22"/>
        <v>5.479993618832439</v>
      </c>
      <c r="L469" s="5">
        <f t="shared" si="23"/>
        <v>8.2871093862923431</v>
      </c>
      <c r="M469" s="5"/>
      <c r="N469" s="6">
        <f>STDEV(L468:L472)</f>
        <v>4.5587544586650437E-2</v>
      </c>
    </row>
    <row r="470" spans="1:14" x14ac:dyDescent="0.3">
      <c r="A470" s="4">
        <v>3</v>
      </c>
      <c r="B470" s="5">
        <v>60</v>
      </c>
      <c r="C470" s="5">
        <v>15.43</v>
      </c>
      <c r="D470" s="5">
        <v>-2.87</v>
      </c>
      <c r="E470" s="5">
        <v>-0.47</v>
      </c>
      <c r="F470" s="5">
        <v>24</v>
      </c>
      <c r="G470" s="5">
        <v>13.888</v>
      </c>
      <c r="H470" s="5">
        <v>16.795999999999999</v>
      </c>
      <c r="I470" s="5">
        <v>37.86</v>
      </c>
      <c r="J470" s="5"/>
      <c r="K470" s="5">
        <f t="shared" si="22"/>
        <v>5.4741302226851758</v>
      </c>
      <c r="L470" s="5">
        <f t="shared" si="23"/>
        <v>8.2186880452208761</v>
      </c>
      <c r="M470" s="5"/>
      <c r="N470" s="6"/>
    </row>
    <row r="471" spans="1:14" x14ac:dyDescent="0.3">
      <c r="A471" s="4">
        <v>4</v>
      </c>
      <c r="B471" s="5">
        <v>60</v>
      </c>
      <c r="C471" s="5">
        <v>15.6</v>
      </c>
      <c r="D471" s="5">
        <v>-2.87</v>
      </c>
      <c r="E471" s="5">
        <v>-0.47</v>
      </c>
      <c r="F471" s="5">
        <v>24</v>
      </c>
      <c r="G471" s="5">
        <v>13.891999999999999</v>
      </c>
      <c r="H471" s="5">
        <v>17.416</v>
      </c>
      <c r="I471" s="5">
        <v>38.56</v>
      </c>
      <c r="J471" s="5"/>
      <c r="K471" s="5">
        <f t="shared" si="22"/>
        <v>5.5742494484432719</v>
      </c>
      <c r="L471" s="5">
        <f t="shared" si="23"/>
        <v>8.2943184234047465</v>
      </c>
      <c r="M471" s="5"/>
      <c r="N471" s="6"/>
    </row>
    <row r="472" spans="1:14" x14ac:dyDescent="0.3">
      <c r="A472" s="4">
        <v>5</v>
      </c>
      <c r="B472" s="5">
        <v>60</v>
      </c>
      <c r="C472" s="5">
        <v>15.6</v>
      </c>
      <c r="D472" s="5">
        <v>-2.87</v>
      </c>
      <c r="E472" s="5">
        <v>-0.47</v>
      </c>
      <c r="F472" s="5">
        <v>24</v>
      </c>
      <c r="G472" s="5">
        <v>13.895</v>
      </c>
      <c r="H472" s="5">
        <v>18.03</v>
      </c>
      <c r="I472" s="5">
        <v>39.021999999999998</v>
      </c>
      <c r="J472" s="5"/>
      <c r="K472" s="5">
        <f t="shared" ref="K472:K511" si="24">SQRT(2*(H472)/$N$1)</f>
        <v>5.671658258754972</v>
      </c>
      <c r="L472" s="5">
        <f t="shared" ref="L472:L511" si="25">SQRT(2*(I472)/$N$1)</f>
        <v>8.3438589488789177</v>
      </c>
      <c r="M472" s="5"/>
      <c r="N472" s="6"/>
    </row>
    <row r="473" spans="1:14" x14ac:dyDescent="0.3">
      <c r="A473" s="4">
        <v>1</v>
      </c>
      <c r="B473" s="5">
        <v>60</v>
      </c>
      <c r="C473" s="5">
        <v>15.51</v>
      </c>
      <c r="D473" s="5">
        <v>-2.87</v>
      </c>
      <c r="E473" s="5">
        <v>-0.24</v>
      </c>
      <c r="F473" s="5">
        <v>24</v>
      </c>
      <c r="G473" s="5">
        <v>13.888999999999999</v>
      </c>
      <c r="H473" s="5">
        <v>17.167000000000002</v>
      </c>
      <c r="I473" s="5">
        <v>37.380000000000003</v>
      </c>
      <c r="J473" s="5"/>
      <c r="K473" s="5">
        <f t="shared" si="24"/>
        <v>5.5342579181610176</v>
      </c>
      <c r="L473" s="5">
        <f t="shared" si="25"/>
        <v>8.1664224083093249</v>
      </c>
      <c r="M473" s="5"/>
      <c r="N473" s="6">
        <f>AVERAGE(L473:L477)</f>
        <v>8.1680805165383603</v>
      </c>
    </row>
    <row r="474" spans="1:14" x14ac:dyDescent="0.3">
      <c r="A474" s="4">
        <v>2</v>
      </c>
      <c r="B474" s="5">
        <v>60</v>
      </c>
      <c r="C474" s="5">
        <v>15.51</v>
      </c>
      <c r="D474" s="5">
        <v>-2.87</v>
      </c>
      <c r="E474" s="5">
        <v>-0.24</v>
      </c>
      <c r="F474" s="5">
        <v>24</v>
      </c>
      <c r="G474" s="5">
        <v>13.894</v>
      </c>
      <c r="H474" s="5">
        <v>17.434000000000001</v>
      </c>
      <c r="I474" s="5">
        <v>37.045000000000002</v>
      </c>
      <c r="J474" s="5"/>
      <c r="K474" s="5">
        <f t="shared" si="24"/>
        <v>5.5771292881942962</v>
      </c>
      <c r="L474" s="5">
        <f t="shared" si="25"/>
        <v>8.1297462634852877</v>
      </c>
      <c r="M474" s="5"/>
      <c r="N474" s="6">
        <f>STDEV(L473:L477)</f>
        <v>3.0576111569808374E-2</v>
      </c>
    </row>
    <row r="475" spans="1:14" x14ac:dyDescent="0.3">
      <c r="A475" s="4">
        <v>3</v>
      </c>
      <c r="B475" s="5">
        <v>60</v>
      </c>
      <c r="C475" s="5">
        <v>15.6</v>
      </c>
      <c r="D475" s="5">
        <v>-2.87</v>
      </c>
      <c r="E475" s="5">
        <v>-0.24</v>
      </c>
      <c r="F475" s="5">
        <v>24</v>
      </c>
      <c r="G475" s="5">
        <v>13.895</v>
      </c>
      <c r="H475" s="5">
        <v>16.802</v>
      </c>
      <c r="I475" s="5">
        <v>37.628999999999998</v>
      </c>
      <c r="J475" s="5"/>
      <c r="K475" s="5">
        <f t="shared" si="24"/>
        <v>5.4751078914334421</v>
      </c>
      <c r="L475" s="5">
        <f t="shared" si="25"/>
        <v>8.1935768233219637</v>
      </c>
      <c r="M475" s="5"/>
      <c r="N475" s="6"/>
    </row>
    <row r="476" spans="1:14" x14ac:dyDescent="0.3">
      <c r="A476" s="4">
        <v>4</v>
      </c>
      <c r="B476" s="5">
        <v>60</v>
      </c>
      <c r="C476" s="5">
        <v>15.34</v>
      </c>
      <c r="D476" s="5">
        <v>-2.87</v>
      </c>
      <c r="E476" s="5">
        <v>-0.24</v>
      </c>
      <c r="F476" s="5">
        <v>24</v>
      </c>
      <c r="G476" s="5">
        <v>13.891999999999999</v>
      </c>
      <c r="H476" s="5">
        <v>17.532</v>
      </c>
      <c r="I476" s="5">
        <v>37.21</v>
      </c>
      <c r="J476" s="5"/>
      <c r="K476" s="5">
        <f t="shared" si="24"/>
        <v>5.5927824011505303</v>
      </c>
      <c r="L476" s="5">
        <f t="shared" si="25"/>
        <v>8.147831265219855</v>
      </c>
      <c r="M476" s="5"/>
      <c r="N476" s="6"/>
    </row>
    <row r="477" spans="1:14" x14ac:dyDescent="0.3">
      <c r="A477" s="4">
        <v>5</v>
      </c>
      <c r="B477" s="5">
        <v>60</v>
      </c>
      <c r="C477" s="5">
        <v>15.68</v>
      </c>
      <c r="D477" s="5">
        <v>-2.87</v>
      </c>
      <c r="E477" s="5">
        <v>-0.24</v>
      </c>
      <c r="F477" s="5">
        <v>24.024999999999999</v>
      </c>
      <c r="G477" s="5">
        <v>13.896000000000001</v>
      </c>
      <c r="H477" s="5">
        <v>16.93</v>
      </c>
      <c r="I477" s="5">
        <v>37.713999999999999</v>
      </c>
      <c r="J477" s="5"/>
      <c r="K477" s="5">
        <f t="shared" si="24"/>
        <v>5.4959233939192353</v>
      </c>
      <c r="L477" s="5">
        <f t="shared" si="25"/>
        <v>8.2028258223553721</v>
      </c>
      <c r="M477" s="5"/>
      <c r="N477" s="6"/>
    </row>
    <row r="478" spans="1:14" x14ac:dyDescent="0.3">
      <c r="A478" s="4">
        <v>1</v>
      </c>
      <c r="B478" s="5">
        <v>60</v>
      </c>
      <c r="C478" s="5">
        <v>15.6</v>
      </c>
      <c r="D478" s="5">
        <v>-2.87</v>
      </c>
      <c r="E478" s="5">
        <v>0.24</v>
      </c>
      <c r="F478" s="5">
        <v>24</v>
      </c>
      <c r="G478" s="5">
        <v>13.888999999999999</v>
      </c>
      <c r="H478" s="5">
        <v>18.225000000000001</v>
      </c>
      <c r="I478" s="5">
        <v>36.290999999999997</v>
      </c>
      <c r="J478" s="5"/>
      <c r="K478" s="5">
        <f t="shared" si="24"/>
        <v>5.7022461417894075</v>
      </c>
      <c r="L478" s="5">
        <f t="shared" si="25"/>
        <v>8.0465860359027204</v>
      </c>
      <c r="M478" s="5"/>
      <c r="N478" s="6">
        <f>AVERAGE(L478:L482)</f>
        <v>8.0837909430823025</v>
      </c>
    </row>
    <row r="479" spans="1:14" x14ac:dyDescent="0.3">
      <c r="A479" s="4">
        <v>2</v>
      </c>
      <c r="B479" s="5">
        <v>60</v>
      </c>
      <c r="C479" s="5">
        <v>15.51</v>
      </c>
      <c r="D479" s="5">
        <v>-2.87</v>
      </c>
      <c r="E479" s="5">
        <v>0.24</v>
      </c>
      <c r="F479" s="5">
        <v>24</v>
      </c>
      <c r="G479" s="5">
        <v>13.888</v>
      </c>
      <c r="H479" s="5">
        <v>17.167000000000002</v>
      </c>
      <c r="I479" s="5">
        <v>36.631999999999998</v>
      </c>
      <c r="J479" s="5"/>
      <c r="K479" s="5">
        <f t="shared" si="24"/>
        <v>5.5342579181610176</v>
      </c>
      <c r="L479" s="5">
        <f t="shared" si="25"/>
        <v>8.0843015903286179</v>
      </c>
      <c r="M479" s="5"/>
      <c r="N479" s="6">
        <f>STDEV(L478:L482)</f>
        <v>3.7411673467865142E-2</v>
      </c>
    </row>
    <row r="480" spans="1:14" x14ac:dyDescent="0.3">
      <c r="A480" s="4">
        <v>3</v>
      </c>
      <c r="B480" s="5">
        <v>60</v>
      </c>
      <c r="C480" s="5">
        <v>15.51</v>
      </c>
      <c r="D480" s="5">
        <v>-2.87</v>
      </c>
      <c r="E480" s="5">
        <v>0.24</v>
      </c>
      <c r="F480" s="5">
        <v>24</v>
      </c>
      <c r="G480" s="5">
        <v>13.884</v>
      </c>
      <c r="H480" s="5">
        <v>17.635000000000002</v>
      </c>
      <c r="I480" s="5">
        <v>36.284999999999997</v>
      </c>
      <c r="J480" s="5"/>
      <c r="K480" s="5">
        <f t="shared" si="24"/>
        <v>5.6091870607606609</v>
      </c>
      <c r="L480" s="5">
        <f t="shared" si="25"/>
        <v>8.0459208363780927</v>
      </c>
      <c r="M480" s="5"/>
      <c r="N480" s="6"/>
    </row>
    <row r="481" spans="1:14" x14ac:dyDescent="0.3">
      <c r="A481" s="4">
        <v>4</v>
      </c>
      <c r="B481" s="5">
        <v>60</v>
      </c>
      <c r="C481" s="5">
        <v>15.6</v>
      </c>
      <c r="D481" s="5">
        <v>-2.87</v>
      </c>
      <c r="E481" s="5">
        <v>0.24</v>
      </c>
      <c r="F481" s="5">
        <v>24</v>
      </c>
      <c r="G481" s="5">
        <v>13.888</v>
      </c>
      <c r="H481" s="5">
        <v>17.489000000000001</v>
      </c>
      <c r="I481" s="5">
        <v>36.966000000000001</v>
      </c>
      <c r="J481" s="5"/>
      <c r="K481" s="5">
        <f t="shared" si="24"/>
        <v>5.5859195993004009</v>
      </c>
      <c r="L481" s="5">
        <f t="shared" si="25"/>
        <v>8.1210731264010469</v>
      </c>
      <c r="M481" s="5"/>
      <c r="N481" s="6"/>
    </row>
    <row r="482" spans="1:14" x14ac:dyDescent="0.3">
      <c r="A482" s="4">
        <v>5</v>
      </c>
      <c r="B482" s="5">
        <v>60</v>
      </c>
      <c r="C482" s="5">
        <v>15.51</v>
      </c>
      <c r="D482" s="5">
        <v>-2.87</v>
      </c>
      <c r="E482" s="5">
        <v>0.24</v>
      </c>
      <c r="F482" s="5">
        <v>24</v>
      </c>
      <c r="G482" s="5">
        <v>13.891</v>
      </c>
      <c r="H482" s="5">
        <v>17.465</v>
      </c>
      <c r="I482" s="5">
        <v>36.966000000000001</v>
      </c>
      <c r="J482" s="5"/>
      <c r="K482" s="5">
        <f t="shared" si="24"/>
        <v>5.582085529456025</v>
      </c>
      <c r="L482" s="5">
        <f t="shared" si="25"/>
        <v>8.1210731264010469</v>
      </c>
      <c r="M482" s="5"/>
      <c r="N482" s="6"/>
    </row>
    <row r="483" spans="1:14" x14ac:dyDescent="0.3">
      <c r="A483" s="4">
        <v>1</v>
      </c>
      <c r="B483" s="5">
        <v>60</v>
      </c>
      <c r="C483" s="5">
        <v>15.51</v>
      </c>
      <c r="D483" s="5">
        <v>-2.87</v>
      </c>
      <c r="E483" s="5">
        <v>0.47</v>
      </c>
      <c r="F483" s="5">
        <v>23.95</v>
      </c>
      <c r="G483" s="5">
        <v>13.888999999999999</v>
      </c>
      <c r="H483" s="5">
        <v>17.501000000000001</v>
      </c>
      <c r="I483" s="5">
        <v>36.383000000000003</v>
      </c>
      <c r="J483" s="5"/>
      <c r="K483" s="5">
        <f t="shared" si="24"/>
        <v>5.5878356476986104</v>
      </c>
      <c r="L483" s="5">
        <f t="shared" si="25"/>
        <v>8.0567788845572554</v>
      </c>
      <c r="M483" s="5"/>
      <c r="N483" s="6">
        <f>AVERAGE(L483:L487)</f>
        <v>8.0367707334527658</v>
      </c>
    </row>
    <row r="484" spans="1:14" x14ac:dyDescent="0.3">
      <c r="A484" s="4">
        <v>2</v>
      </c>
      <c r="B484" s="5">
        <v>60</v>
      </c>
      <c r="C484" s="5">
        <v>15.68</v>
      </c>
      <c r="D484" s="5">
        <v>-2.87</v>
      </c>
      <c r="E484" s="5">
        <v>0.47</v>
      </c>
      <c r="F484" s="5">
        <v>23.8</v>
      </c>
      <c r="G484" s="5">
        <v>13.885</v>
      </c>
      <c r="H484" s="5">
        <v>16.710999999999999</v>
      </c>
      <c r="I484" s="5">
        <v>35.384999999999998</v>
      </c>
      <c r="J484" s="5"/>
      <c r="K484" s="5">
        <f t="shared" si="24"/>
        <v>5.4602611093879041</v>
      </c>
      <c r="L484" s="5">
        <f t="shared" si="25"/>
        <v>7.9455102364189525</v>
      </c>
      <c r="M484" s="5"/>
      <c r="N484" s="6">
        <f>STDEV(L483:L487)</f>
        <v>9.0619556005781962E-2</v>
      </c>
    </row>
    <row r="485" spans="1:14" x14ac:dyDescent="0.3">
      <c r="A485" s="4">
        <v>3</v>
      </c>
      <c r="B485" s="5">
        <v>60</v>
      </c>
      <c r="C485" s="5">
        <v>15.6</v>
      </c>
      <c r="D485" s="5">
        <v>-2.87</v>
      </c>
      <c r="E485" s="5">
        <v>0.47</v>
      </c>
      <c r="F485" s="5">
        <v>23.824999999999999</v>
      </c>
      <c r="G485" s="5">
        <v>13.893000000000001</v>
      </c>
      <c r="H485" s="5">
        <v>18.535</v>
      </c>
      <c r="I485" s="5">
        <v>37.343000000000004</v>
      </c>
      <c r="J485" s="5"/>
      <c r="K485" s="5">
        <f t="shared" si="24"/>
        <v>5.7505381201092494</v>
      </c>
      <c r="L485" s="5">
        <f t="shared" si="25"/>
        <v>8.1623797058264458</v>
      </c>
      <c r="M485" s="5"/>
      <c r="N485" s="6"/>
    </row>
    <row r="486" spans="1:14" x14ac:dyDescent="0.3">
      <c r="A486" s="4">
        <v>4</v>
      </c>
      <c r="B486" s="5">
        <v>60</v>
      </c>
      <c r="C486" s="5">
        <v>15.51</v>
      </c>
      <c r="D486" s="5">
        <v>-2.87</v>
      </c>
      <c r="E486" s="5">
        <v>0.47</v>
      </c>
      <c r="F486" s="5">
        <v>23.875</v>
      </c>
      <c r="G486" s="5">
        <v>13.888</v>
      </c>
      <c r="H486" s="5">
        <v>16.242000000000001</v>
      </c>
      <c r="I486" s="5">
        <v>36.485999999999997</v>
      </c>
      <c r="J486" s="5"/>
      <c r="K486" s="5">
        <f t="shared" si="24"/>
        <v>5.3830937650664117</v>
      </c>
      <c r="L486" s="5">
        <f t="shared" si="25"/>
        <v>8.0681751648457265</v>
      </c>
      <c r="M486" s="5"/>
      <c r="N486" s="6"/>
    </row>
    <row r="487" spans="1:14" x14ac:dyDescent="0.3">
      <c r="A487" s="4">
        <v>5</v>
      </c>
      <c r="B487" s="5">
        <v>60</v>
      </c>
      <c r="C487" s="5">
        <v>15.6</v>
      </c>
      <c r="D487" s="5">
        <v>-2.87</v>
      </c>
      <c r="E487" s="5">
        <v>0.47</v>
      </c>
      <c r="F487" s="5">
        <v>23.875</v>
      </c>
      <c r="G487" s="5">
        <v>13.888999999999999</v>
      </c>
      <c r="H487" s="5">
        <v>16.68</v>
      </c>
      <c r="I487" s="5">
        <v>35.433999999999997</v>
      </c>
      <c r="J487" s="5"/>
      <c r="K487" s="5">
        <f t="shared" si="24"/>
        <v>5.4551941873563292</v>
      </c>
      <c r="L487" s="5">
        <f t="shared" si="25"/>
        <v>7.951009675615456</v>
      </c>
      <c r="M487" s="5"/>
      <c r="N487" s="6"/>
    </row>
    <row r="488" spans="1:14" x14ac:dyDescent="0.3">
      <c r="A488" s="4">
        <v>1</v>
      </c>
      <c r="B488" s="5">
        <v>60</v>
      </c>
      <c r="C488" s="5">
        <v>15.51</v>
      </c>
      <c r="D488" s="5">
        <v>-2.87</v>
      </c>
      <c r="E488" s="5">
        <v>0.75</v>
      </c>
      <c r="F488" s="5">
        <v>23.925000000000001</v>
      </c>
      <c r="G488" s="5">
        <v>13.891999999999999</v>
      </c>
      <c r="H488" s="5">
        <v>17.731999999999999</v>
      </c>
      <c r="I488" s="5">
        <v>35.878</v>
      </c>
      <c r="J488" s="5"/>
      <c r="K488" s="5">
        <f t="shared" si="24"/>
        <v>5.6245923630667711</v>
      </c>
      <c r="L488" s="5">
        <f t="shared" si="25"/>
        <v>8.0006690175210657</v>
      </c>
      <c r="M488" s="5"/>
      <c r="N488" s="6">
        <f>AVERAGE(L488:L492)</f>
        <v>8.0505950509515447</v>
      </c>
    </row>
    <row r="489" spans="1:14" x14ac:dyDescent="0.3">
      <c r="A489" s="4">
        <v>2</v>
      </c>
      <c r="B489" s="5">
        <v>60</v>
      </c>
      <c r="C489" s="5">
        <v>15.51</v>
      </c>
      <c r="D489" s="5">
        <v>-2.87</v>
      </c>
      <c r="E489" s="5">
        <v>0.75</v>
      </c>
      <c r="F489" s="5">
        <v>23.85</v>
      </c>
      <c r="G489" s="5">
        <v>13.894</v>
      </c>
      <c r="H489" s="5">
        <v>16.972000000000001</v>
      </c>
      <c r="I489" s="5">
        <v>36.722999999999999</v>
      </c>
      <c r="J489" s="5"/>
      <c r="K489" s="5">
        <f t="shared" si="24"/>
        <v>5.5027363236192972</v>
      </c>
      <c r="L489" s="5">
        <f t="shared" si="25"/>
        <v>8.0943367389510392</v>
      </c>
      <c r="M489" s="5"/>
      <c r="N489" s="6">
        <f>STDEV(L488:L492)</f>
        <v>3.7447018645321642E-2</v>
      </c>
    </row>
    <row r="490" spans="1:14" x14ac:dyDescent="0.3">
      <c r="A490" s="4">
        <v>3</v>
      </c>
      <c r="B490" s="5">
        <v>60</v>
      </c>
      <c r="C490" s="5">
        <v>15.76</v>
      </c>
      <c r="D490" s="5">
        <v>-2.87</v>
      </c>
      <c r="E490" s="5">
        <v>0.75</v>
      </c>
      <c r="F490" s="5">
        <v>23.925000000000001</v>
      </c>
      <c r="G490" s="5">
        <v>13.891999999999999</v>
      </c>
      <c r="H490" s="5">
        <v>17.343</v>
      </c>
      <c r="I490" s="5">
        <v>36.267000000000003</v>
      </c>
      <c r="J490" s="5"/>
      <c r="K490" s="5">
        <f t="shared" si="24"/>
        <v>5.5625548138505465</v>
      </c>
      <c r="L490" s="5">
        <f t="shared" si="25"/>
        <v>8.0439249077486217</v>
      </c>
      <c r="M490" s="5"/>
      <c r="N490" s="6"/>
    </row>
    <row r="491" spans="1:14" x14ac:dyDescent="0.3">
      <c r="A491" s="4">
        <v>4</v>
      </c>
      <c r="B491" s="5">
        <v>60</v>
      </c>
      <c r="C491" s="5">
        <v>15.6</v>
      </c>
      <c r="D491" s="5">
        <v>-2.87</v>
      </c>
      <c r="E491" s="5">
        <v>0.75</v>
      </c>
      <c r="F491" s="5">
        <v>23.925000000000001</v>
      </c>
      <c r="G491" s="5">
        <v>13.891999999999999</v>
      </c>
      <c r="H491" s="5">
        <v>17.294</v>
      </c>
      <c r="I491" s="5">
        <v>36.176000000000002</v>
      </c>
      <c r="J491" s="5"/>
      <c r="K491" s="5">
        <f t="shared" si="24"/>
        <v>5.5546911806507877</v>
      </c>
      <c r="L491" s="5">
        <f t="shared" si="25"/>
        <v>8.0338267893548672</v>
      </c>
      <c r="M491" s="5"/>
      <c r="N491" s="6"/>
    </row>
    <row r="492" spans="1:14" x14ac:dyDescent="0.3">
      <c r="A492" s="4">
        <v>5</v>
      </c>
      <c r="B492" s="5">
        <v>60</v>
      </c>
      <c r="C492" s="5">
        <v>15.51</v>
      </c>
      <c r="D492" s="5">
        <v>-2.87</v>
      </c>
      <c r="E492" s="5">
        <v>0.75</v>
      </c>
      <c r="F492" s="5">
        <v>23.95</v>
      </c>
      <c r="G492" s="5">
        <v>13.888</v>
      </c>
      <c r="H492" s="5">
        <v>17.617000000000001</v>
      </c>
      <c r="I492" s="5">
        <v>36.594999999999999</v>
      </c>
      <c r="J492" s="5"/>
      <c r="K492" s="5">
        <f t="shared" si="24"/>
        <v>5.6063236883755048</v>
      </c>
      <c r="L492" s="5">
        <f t="shared" si="25"/>
        <v>8.0802178011821315</v>
      </c>
      <c r="M492" s="5"/>
      <c r="N492" s="6"/>
    </row>
    <row r="493" spans="1:14" x14ac:dyDescent="0.3">
      <c r="A493" s="4">
        <v>1</v>
      </c>
      <c r="B493" s="5">
        <v>60</v>
      </c>
      <c r="C493" s="5">
        <v>15.6</v>
      </c>
      <c r="D493" s="5">
        <v>-2.87</v>
      </c>
      <c r="E493" s="5">
        <v>1.5</v>
      </c>
      <c r="F493" s="5">
        <v>23.824999999999999</v>
      </c>
      <c r="G493" s="5">
        <v>13.897</v>
      </c>
      <c r="H493" s="5">
        <v>18.315999999999999</v>
      </c>
      <c r="I493" s="5">
        <v>31.123000000000001</v>
      </c>
      <c r="J493" s="5"/>
      <c r="K493" s="5">
        <f t="shared" si="24"/>
        <v>5.7164644756785563</v>
      </c>
      <c r="L493" s="5">
        <f t="shared" si="25"/>
        <v>7.4516580604677385</v>
      </c>
      <c r="M493" s="5"/>
      <c r="N493" s="6">
        <f>AVERAGE(L493:L497)</f>
        <v>7.5175485004432856</v>
      </c>
    </row>
    <row r="494" spans="1:14" x14ac:dyDescent="0.3">
      <c r="A494" s="4">
        <v>2</v>
      </c>
      <c r="B494" s="5">
        <v>60</v>
      </c>
      <c r="C494" s="5">
        <v>15.51</v>
      </c>
      <c r="D494" s="5">
        <v>-2.87</v>
      </c>
      <c r="E494" s="5">
        <v>1.5</v>
      </c>
      <c r="F494" s="5">
        <v>23.875</v>
      </c>
      <c r="G494" s="5">
        <v>13.891999999999999</v>
      </c>
      <c r="H494" s="5">
        <v>18.923999999999999</v>
      </c>
      <c r="I494" s="5">
        <v>31.189</v>
      </c>
      <c r="J494" s="5"/>
      <c r="K494" s="5">
        <f t="shared" si="24"/>
        <v>5.8105689794035476</v>
      </c>
      <c r="L494" s="5">
        <f t="shared" si="25"/>
        <v>7.4595549369429737</v>
      </c>
      <c r="M494" s="5"/>
      <c r="N494" s="6">
        <f>STDEV(L493:L497)</f>
        <v>7.5608984944315394E-2</v>
      </c>
    </row>
    <row r="495" spans="1:14" x14ac:dyDescent="0.3">
      <c r="A495" s="4">
        <v>3</v>
      </c>
      <c r="B495" s="5">
        <v>60</v>
      </c>
      <c r="C495" s="5">
        <v>15.6</v>
      </c>
      <c r="D495" s="5">
        <v>-2.87</v>
      </c>
      <c r="E495" s="5">
        <v>1.5</v>
      </c>
      <c r="F495" s="5">
        <v>23.85</v>
      </c>
      <c r="G495" s="5">
        <v>13.894</v>
      </c>
      <c r="H495" s="5">
        <v>16.96</v>
      </c>
      <c r="I495" s="5">
        <v>31.536000000000001</v>
      </c>
      <c r="J495" s="5"/>
      <c r="K495" s="5">
        <f t="shared" si="24"/>
        <v>5.5007906333032004</v>
      </c>
      <c r="L495" s="5">
        <f t="shared" si="25"/>
        <v>7.5009366052111766</v>
      </c>
      <c r="M495" s="5"/>
      <c r="N495" s="6"/>
    </row>
    <row r="496" spans="1:14" x14ac:dyDescent="0.3">
      <c r="A496" s="4">
        <v>4</v>
      </c>
      <c r="B496" s="5">
        <v>60</v>
      </c>
      <c r="C496" s="5">
        <v>15.6</v>
      </c>
      <c r="D496" s="5">
        <v>-2.87</v>
      </c>
      <c r="E496" s="5">
        <v>1.5</v>
      </c>
      <c r="F496" s="5">
        <v>23.875</v>
      </c>
      <c r="G496" s="5">
        <v>13.893000000000001</v>
      </c>
      <c r="H496" s="5">
        <v>17.178999999999998</v>
      </c>
      <c r="I496" s="5">
        <v>32.698</v>
      </c>
      <c r="J496" s="5"/>
      <c r="K496" s="5">
        <f t="shared" si="24"/>
        <v>5.5361918464383901</v>
      </c>
      <c r="L496" s="5">
        <f t="shared" si="25"/>
        <v>7.6378792167412026</v>
      </c>
      <c r="M496" s="5"/>
      <c r="N496" s="6"/>
    </row>
    <row r="497" spans="1:14" x14ac:dyDescent="0.3">
      <c r="A497" s="4">
        <v>5</v>
      </c>
      <c r="B497" s="5">
        <v>60</v>
      </c>
      <c r="C497" s="5">
        <v>15.51</v>
      </c>
      <c r="D497" s="5">
        <v>-2.87</v>
      </c>
      <c r="E497" s="5">
        <v>1.5</v>
      </c>
      <c r="F497" s="5">
        <v>23.8</v>
      </c>
      <c r="G497" s="5">
        <v>13.891999999999999</v>
      </c>
      <c r="H497" s="5">
        <v>17.38</v>
      </c>
      <c r="I497" s="5">
        <v>31.846</v>
      </c>
      <c r="J497" s="5"/>
      <c r="K497" s="5">
        <f t="shared" si="24"/>
        <v>5.5684853008642419</v>
      </c>
      <c r="L497" s="5">
        <f t="shared" si="25"/>
        <v>7.5377136828533358</v>
      </c>
      <c r="M497" s="5"/>
      <c r="N497" s="6"/>
    </row>
    <row r="498" spans="1:14" x14ac:dyDescent="0.3">
      <c r="A498" s="4">
        <v>1</v>
      </c>
      <c r="B498" s="5">
        <v>60</v>
      </c>
      <c r="C498" s="5">
        <v>15.34</v>
      </c>
      <c r="D498" s="5">
        <v>-2.87</v>
      </c>
      <c r="E498" s="5">
        <v>1.97</v>
      </c>
      <c r="F498" s="5">
        <v>24</v>
      </c>
      <c r="G498" s="5">
        <v>13.891</v>
      </c>
      <c r="H498" s="5">
        <v>17.190999999999999</v>
      </c>
      <c r="I498" s="5">
        <v>29.408000000000001</v>
      </c>
      <c r="J498" s="5"/>
      <c r="K498" s="5">
        <f t="shared" si="24"/>
        <v>5.5381250993828148</v>
      </c>
      <c r="L498" s="5">
        <f t="shared" si="25"/>
        <v>7.2434411563776395</v>
      </c>
      <c r="M498" s="5"/>
      <c r="N498" s="6">
        <f>AVERAGE(L498:L502)</f>
        <v>7.2894401903999606</v>
      </c>
    </row>
    <row r="499" spans="1:14" x14ac:dyDescent="0.3">
      <c r="A499" s="4">
        <v>2</v>
      </c>
      <c r="B499" s="5">
        <v>60</v>
      </c>
      <c r="C499" s="5">
        <v>15.34</v>
      </c>
      <c r="D499" s="5">
        <v>-2.87</v>
      </c>
      <c r="E499" s="5">
        <v>1.97</v>
      </c>
      <c r="F499" s="5">
        <v>24</v>
      </c>
      <c r="G499" s="5">
        <v>13.898</v>
      </c>
      <c r="H499" s="5">
        <v>17.318999999999999</v>
      </c>
      <c r="I499" s="5">
        <v>29.827000000000002</v>
      </c>
      <c r="J499" s="5"/>
      <c r="K499" s="5">
        <f t="shared" si="24"/>
        <v>5.5587046283649473</v>
      </c>
      <c r="L499" s="5">
        <f t="shared" si="25"/>
        <v>7.294860287838973</v>
      </c>
      <c r="M499" s="5"/>
      <c r="N499" s="6">
        <f>STDEV(L498:L502)</f>
        <v>6.5207224420477064E-2</v>
      </c>
    </row>
    <row r="500" spans="1:14" x14ac:dyDescent="0.3">
      <c r="A500" s="4">
        <v>3</v>
      </c>
      <c r="B500" s="5">
        <v>60</v>
      </c>
      <c r="C500" s="5">
        <v>15.43</v>
      </c>
      <c r="D500" s="5">
        <v>-2.87</v>
      </c>
      <c r="E500" s="5">
        <v>1.97</v>
      </c>
      <c r="F500" s="5">
        <v>24.05</v>
      </c>
      <c r="G500" s="5">
        <v>13.885999999999999</v>
      </c>
      <c r="H500" s="5">
        <v>16.704999999999998</v>
      </c>
      <c r="I500" s="5">
        <v>29.146000000000001</v>
      </c>
      <c r="J500" s="5"/>
      <c r="K500" s="5">
        <f t="shared" si="24"/>
        <v>5.4592807818221365</v>
      </c>
      <c r="L500" s="5">
        <f t="shared" si="25"/>
        <v>7.2111025509279782</v>
      </c>
      <c r="M500" s="5"/>
      <c r="N500" s="6"/>
    </row>
    <row r="501" spans="1:14" x14ac:dyDescent="0.3">
      <c r="A501" s="4">
        <v>4</v>
      </c>
      <c r="B501" s="5">
        <v>60</v>
      </c>
      <c r="C501" s="5">
        <v>15.43</v>
      </c>
      <c r="D501" s="5">
        <v>-2.87</v>
      </c>
      <c r="E501" s="5">
        <v>1.97</v>
      </c>
      <c r="F501" s="5">
        <v>24</v>
      </c>
      <c r="G501" s="5">
        <v>13.89</v>
      </c>
      <c r="H501" s="5">
        <v>16.638000000000002</v>
      </c>
      <c r="I501" s="5">
        <v>30.033999999999999</v>
      </c>
      <c r="J501" s="5"/>
      <c r="K501" s="5">
        <f t="shared" si="24"/>
        <v>5.4483218082558036</v>
      </c>
      <c r="L501" s="5">
        <f t="shared" si="25"/>
        <v>7.3201297619906853</v>
      </c>
      <c r="M501" s="5"/>
      <c r="N501" s="6"/>
    </row>
    <row r="502" spans="1:14" x14ac:dyDescent="0.3">
      <c r="A502" s="4">
        <v>5</v>
      </c>
      <c r="B502" s="5">
        <v>60</v>
      </c>
      <c r="C502" s="5">
        <v>15.6</v>
      </c>
      <c r="D502" s="5">
        <v>-2.87</v>
      </c>
      <c r="E502" s="5">
        <v>1.97</v>
      </c>
      <c r="F502" s="5">
        <v>24</v>
      </c>
      <c r="G502" s="5">
        <v>13.89</v>
      </c>
      <c r="H502" s="5">
        <v>16.875</v>
      </c>
      <c r="I502" s="5">
        <v>30.507999999999999</v>
      </c>
      <c r="J502" s="5"/>
      <c r="K502" s="5">
        <f t="shared" si="24"/>
        <v>5.4869889082460324</v>
      </c>
      <c r="L502" s="5">
        <f t="shared" si="25"/>
        <v>7.3776671948645252</v>
      </c>
      <c r="M502" s="5"/>
      <c r="N502" s="6"/>
    </row>
    <row r="503" spans="1:14" x14ac:dyDescent="0.3">
      <c r="A503" s="4">
        <v>1</v>
      </c>
      <c r="B503" s="5">
        <v>60</v>
      </c>
      <c r="C503" s="5">
        <v>15.6</v>
      </c>
      <c r="D503" s="5">
        <v>-2.87</v>
      </c>
      <c r="E503" s="5">
        <v>2.2400000000000002</v>
      </c>
      <c r="F503" s="5">
        <v>23.925000000000001</v>
      </c>
      <c r="G503" s="5">
        <v>13.888999999999999</v>
      </c>
      <c r="H503" s="5">
        <v>17.568000000000001</v>
      </c>
      <c r="I503" s="5">
        <v>27.273</v>
      </c>
      <c r="J503" s="5"/>
      <c r="K503" s="5">
        <f t="shared" si="24"/>
        <v>5.5985215328824172</v>
      </c>
      <c r="L503" s="5">
        <f t="shared" si="25"/>
        <v>6.9755530796612941</v>
      </c>
      <c r="M503" s="5"/>
      <c r="N503" s="6">
        <f>AVERAGE(L503:L507)</f>
        <v>6.9337213995938658</v>
      </c>
    </row>
    <row r="504" spans="1:14" x14ac:dyDescent="0.3">
      <c r="A504" s="4">
        <v>2</v>
      </c>
      <c r="B504" s="5">
        <v>60</v>
      </c>
      <c r="C504" s="5">
        <v>15.6</v>
      </c>
      <c r="D504" s="5">
        <v>-2.87</v>
      </c>
      <c r="E504" s="5">
        <v>2.2400000000000002</v>
      </c>
      <c r="F504" s="5">
        <v>24</v>
      </c>
      <c r="G504" s="5">
        <v>13.887</v>
      </c>
      <c r="H504" s="5">
        <v>17.050999999999998</v>
      </c>
      <c r="I504" s="5">
        <v>26.623000000000001</v>
      </c>
      <c r="J504" s="5"/>
      <c r="K504" s="5">
        <f t="shared" si="24"/>
        <v>5.5155283184459263</v>
      </c>
      <c r="L504" s="5">
        <f t="shared" si="25"/>
        <v>6.891927300038053</v>
      </c>
      <c r="M504" s="5"/>
      <c r="N504" s="6">
        <f>STDEV(L503:L507)</f>
        <v>3.4249418114256282E-2</v>
      </c>
    </row>
    <row r="505" spans="1:14" x14ac:dyDescent="0.3">
      <c r="A505" s="4">
        <v>3</v>
      </c>
      <c r="B505" s="5">
        <v>60</v>
      </c>
      <c r="C505" s="5">
        <v>15.6</v>
      </c>
      <c r="D505" s="5">
        <v>-2.87</v>
      </c>
      <c r="E505" s="5">
        <v>2.2400000000000002</v>
      </c>
      <c r="F505" s="5">
        <v>24</v>
      </c>
      <c r="G505" s="5">
        <v>13.891999999999999</v>
      </c>
      <c r="H505" s="5">
        <v>18.236999999999998</v>
      </c>
      <c r="I505" s="5">
        <v>26.738</v>
      </c>
      <c r="J505" s="5"/>
      <c r="K505" s="5">
        <f t="shared" si="24"/>
        <v>5.7041231155537986</v>
      </c>
      <c r="L505" s="5">
        <f t="shared" si="25"/>
        <v>6.9067963529293763</v>
      </c>
      <c r="M505" s="5"/>
      <c r="N505" s="6"/>
    </row>
    <row r="506" spans="1:14" x14ac:dyDescent="0.3">
      <c r="A506" s="4">
        <v>4</v>
      </c>
      <c r="B506" s="5">
        <v>60</v>
      </c>
      <c r="C506" s="5">
        <v>15.43</v>
      </c>
      <c r="D506" s="5">
        <v>-2.87</v>
      </c>
      <c r="E506" s="5">
        <v>2.2400000000000002</v>
      </c>
      <c r="F506" s="5">
        <v>24</v>
      </c>
      <c r="G506" s="5">
        <v>13.891999999999999</v>
      </c>
      <c r="H506" s="5">
        <v>16.254999999999999</v>
      </c>
      <c r="I506" s="5">
        <v>27.109000000000002</v>
      </c>
      <c r="J506" s="5"/>
      <c r="K506" s="5">
        <f t="shared" si="24"/>
        <v>5.3852476322505476</v>
      </c>
      <c r="L506" s="5">
        <f t="shared" si="25"/>
        <v>6.9545485022861984</v>
      </c>
      <c r="M506" s="5"/>
      <c r="N506" s="6"/>
    </row>
    <row r="507" spans="1:14" ht="15" thickBot="1" x14ac:dyDescent="0.35">
      <c r="A507" s="7">
        <v>5</v>
      </c>
      <c r="B507" s="8">
        <v>60</v>
      </c>
      <c r="C507" s="8">
        <v>15.6</v>
      </c>
      <c r="D507" s="8">
        <v>-2.87</v>
      </c>
      <c r="E507" s="8">
        <v>2.2400000000000002</v>
      </c>
      <c r="F507" s="8">
        <v>24</v>
      </c>
      <c r="G507" s="8">
        <v>13.891999999999999</v>
      </c>
      <c r="H507" s="8">
        <v>17.556000000000001</v>
      </c>
      <c r="I507" s="8">
        <v>26.994</v>
      </c>
      <c r="J507" s="8"/>
      <c r="K507" s="8">
        <f t="shared" si="24"/>
        <v>5.5966091428922464</v>
      </c>
      <c r="L507" s="8">
        <f t="shared" si="25"/>
        <v>6.9397817630544028</v>
      </c>
      <c r="M507" s="8"/>
      <c r="N507" s="9"/>
    </row>
    <row r="508" spans="1:14" x14ac:dyDescent="0.3">
      <c r="K508">
        <f t="shared" si="24"/>
        <v>0</v>
      </c>
      <c r="L508">
        <f t="shared" si="25"/>
        <v>0</v>
      </c>
    </row>
    <row r="509" spans="1:14" x14ac:dyDescent="0.3">
      <c r="K509">
        <f t="shared" si="24"/>
        <v>0</v>
      </c>
      <c r="L509">
        <f t="shared" si="25"/>
        <v>0</v>
      </c>
    </row>
    <row r="510" spans="1:14" x14ac:dyDescent="0.3">
      <c r="K510">
        <f t="shared" si="24"/>
        <v>0</v>
      </c>
      <c r="L510">
        <f t="shared" si="25"/>
        <v>0</v>
      </c>
    </row>
    <row r="511" spans="1:14" x14ac:dyDescent="0.3">
      <c r="K511">
        <f t="shared" si="24"/>
        <v>0</v>
      </c>
      <c r="L511">
        <f t="shared" si="25"/>
        <v>0</v>
      </c>
    </row>
    <row r="512" spans="1:14" x14ac:dyDescent="0.3">
      <c r="K512">
        <f t="shared" ref="K512:K538" si="26">SQRT(2*(H512)/$N$1)</f>
        <v>0</v>
      </c>
    </row>
    <row r="513" spans="11:11" x14ac:dyDescent="0.3">
      <c r="K513">
        <f t="shared" si="26"/>
        <v>0</v>
      </c>
    </row>
    <row r="514" spans="11:11" x14ac:dyDescent="0.3">
      <c r="K514">
        <f t="shared" si="26"/>
        <v>0</v>
      </c>
    </row>
    <row r="515" spans="11:11" x14ac:dyDescent="0.3">
      <c r="K515">
        <f t="shared" si="26"/>
        <v>0</v>
      </c>
    </row>
    <row r="516" spans="11:11" x14ac:dyDescent="0.3">
      <c r="K516">
        <f t="shared" si="26"/>
        <v>0</v>
      </c>
    </row>
    <row r="517" spans="11:11" x14ac:dyDescent="0.3">
      <c r="K517">
        <f t="shared" si="26"/>
        <v>0</v>
      </c>
    </row>
    <row r="518" spans="11:11" x14ac:dyDescent="0.3">
      <c r="K518">
        <f t="shared" si="26"/>
        <v>0</v>
      </c>
    </row>
    <row r="519" spans="11:11" x14ac:dyDescent="0.3">
      <c r="K519">
        <f t="shared" si="26"/>
        <v>0</v>
      </c>
    </row>
    <row r="520" spans="11:11" x14ac:dyDescent="0.3">
      <c r="K520">
        <f t="shared" si="26"/>
        <v>0</v>
      </c>
    </row>
    <row r="521" spans="11:11" x14ac:dyDescent="0.3">
      <c r="K521">
        <f t="shared" si="26"/>
        <v>0</v>
      </c>
    </row>
    <row r="522" spans="11:11" x14ac:dyDescent="0.3">
      <c r="K522">
        <f t="shared" si="26"/>
        <v>0</v>
      </c>
    </row>
    <row r="523" spans="11:11" x14ac:dyDescent="0.3">
      <c r="K523">
        <f t="shared" si="26"/>
        <v>0</v>
      </c>
    </row>
    <row r="524" spans="11:11" x14ac:dyDescent="0.3">
      <c r="K524">
        <f t="shared" si="26"/>
        <v>0</v>
      </c>
    </row>
    <row r="525" spans="11:11" x14ac:dyDescent="0.3">
      <c r="K525">
        <f t="shared" si="26"/>
        <v>0</v>
      </c>
    </row>
    <row r="526" spans="11:11" x14ac:dyDescent="0.3">
      <c r="K526">
        <f t="shared" si="26"/>
        <v>0</v>
      </c>
    </row>
    <row r="527" spans="11:11" x14ac:dyDescent="0.3">
      <c r="K527">
        <f t="shared" si="26"/>
        <v>0</v>
      </c>
    </row>
    <row r="528" spans="11:11" x14ac:dyDescent="0.3">
      <c r="K528">
        <f t="shared" si="26"/>
        <v>0</v>
      </c>
    </row>
    <row r="529" spans="11:11" x14ac:dyDescent="0.3">
      <c r="K529">
        <f t="shared" si="26"/>
        <v>0</v>
      </c>
    </row>
    <row r="530" spans="11:11" x14ac:dyDescent="0.3">
      <c r="K530">
        <f t="shared" si="26"/>
        <v>0</v>
      </c>
    </row>
    <row r="531" spans="11:11" x14ac:dyDescent="0.3">
      <c r="K531">
        <f t="shared" si="26"/>
        <v>0</v>
      </c>
    </row>
    <row r="532" spans="11:11" x14ac:dyDescent="0.3">
      <c r="K532">
        <f t="shared" si="26"/>
        <v>0</v>
      </c>
    </row>
    <row r="533" spans="11:11" x14ac:dyDescent="0.3">
      <c r="K533">
        <f t="shared" si="26"/>
        <v>0</v>
      </c>
    </row>
    <row r="534" spans="11:11" x14ac:dyDescent="0.3">
      <c r="K534">
        <f t="shared" si="26"/>
        <v>0</v>
      </c>
    </row>
    <row r="535" spans="11:11" x14ac:dyDescent="0.3">
      <c r="K535">
        <f t="shared" si="26"/>
        <v>0</v>
      </c>
    </row>
    <row r="536" spans="11:11" x14ac:dyDescent="0.3">
      <c r="K536">
        <f t="shared" si="26"/>
        <v>0</v>
      </c>
    </row>
    <row r="537" spans="11:11" x14ac:dyDescent="0.3">
      <c r="K537">
        <f t="shared" si="26"/>
        <v>0</v>
      </c>
    </row>
    <row r="538" spans="11:11" x14ac:dyDescent="0.3">
      <c r="K538">
        <f t="shared" si="26"/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5235A0CBEA4E4BA44A492B72CB0F55" ma:contentTypeVersion="2" ma:contentTypeDescription="Create a new document." ma:contentTypeScope="" ma:versionID="70e5c958f602f45486ea9c9e3e1161eb">
  <xsd:schema xmlns:xsd="http://www.w3.org/2001/XMLSchema" xmlns:xs="http://www.w3.org/2001/XMLSchema" xmlns:p="http://schemas.microsoft.com/office/2006/metadata/properties" xmlns:ns2="6112e395-b193-4778-b513-460523810ab5" targetNamespace="http://schemas.microsoft.com/office/2006/metadata/properties" ma:root="true" ma:fieldsID="df585931453734ed62ad13ba882f2bc2" ns2:_="">
    <xsd:import namespace="6112e395-b193-4778-b513-460523810ab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12e395-b193-4778-b513-460523810ab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CDCCB32-1354-4C88-8729-9AB1664891E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C862AD8-392E-4441-8EF7-A48511E329E5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BBA752E-3178-4A5A-9C93-41536B8ECD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12e395-b193-4778-b513-460523810ab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Group2_raw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melab2 [M E]</dc:creator>
  <cp:lastModifiedBy>Michael</cp:lastModifiedBy>
  <dcterms:created xsi:type="dcterms:W3CDTF">2021-03-10T17:48:38Z</dcterms:created>
  <dcterms:modified xsi:type="dcterms:W3CDTF">2021-03-12T19:42:18Z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0x010100C35235A0CBEA4E4BA44A492B72CB0F55</vt:lpwstr>
  </property>
</Properties>
</file>