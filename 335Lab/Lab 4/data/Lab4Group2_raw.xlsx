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4\data\"/>
    </mc:Choice>
  </mc:AlternateContent>
  <xr:revisionPtr revIDLastSave="0" documentId="13_ncr:1_{14A4B628-2EC0-4251-B044-E1CE4448ED17}" xr6:coauthVersionLast="46" xr6:coauthVersionMax="46" xr10:uidLastSave="{00000000-0000-0000-0000-000000000000}"/>
  <bookViews>
    <workbookView xWindow="12444" yWindow="2160" windowWidth="27648" windowHeight="14136" xr2:uid="{00000000-000D-0000-FFFF-FFFF00000000}"/>
  </bookViews>
  <sheets>
    <sheet name="Unit2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5" i="1" l="1"/>
  <c r="F95" i="1"/>
  <c r="G83" i="1"/>
  <c r="F83" i="1"/>
  <c r="G71" i="1"/>
  <c r="F71" i="1"/>
  <c r="G58" i="1"/>
  <c r="F58" i="1"/>
  <c r="G46" i="1"/>
  <c r="F46" i="1"/>
  <c r="G34" i="1"/>
  <c r="F34" i="1"/>
  <c r="G22" i="1"/>
  <c r="F22" i="1"/>
  <c r="G10" i="1"/>
  <c r="F10" i="1"/>
  <c r="G94" i="1"/>
  <c r="F94" i="1"/>
  <c r="G82" i="1"/>
  <c r="G70" i="1"/>
  <c r="F70" i="1"/>
  <c r="G57" i="1"/>
  <c r="F57" i="1"/>
  <c r="G45" i="1"/>
  <c r="F45" i="1"/>
  <c r="G33" i="1"/>
  <c r="F33" i="1"/>
  <c r="G21" i="1"/>
  <c r="G9" i="1"/>
  <c r="F21" i="1"/>
  <c r="F9" i="1"/>
  <c r="F82" i="1"/>
</calcChain>
</file>

<file path=xl/sharedStrings.xml><?xml version="1.0" encoding="utf-8"?>
<sst xmlns="http://schemas.openxmlformats.org/spreadsheetml/2006/main" count="47" uniqueCount="11">
  <si>
    <t>ME 335 Linear Momentum Lab</t>
  </si>
  <si>
    <t>Date:</t>
  </si>
  <si>
    <t>Time:</t>
  </si>
  <si>
    <t>Section 6</t>
  </si>
  <si>
    <t>Group 2</t>
  </si>
  <si>
    <t>Group Members:</t>
  </si>
  <si>
    <t>Joseph Massey</t>
  </si>
  <si>
    <t>Sample Number</t>
  </si>
  <si>
    <t>Flow Rate (GPM)</t>
  </si>
  <si>
    <t>Force Transducer (lbf)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</si>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</sst>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16" workbookViewId="0">
      <selection activeCell="G71" sqref="G71"/>
    </sheetView>
  </sheetViews>
  <sheetFormatPr defaultRowHeight="14.4" x14ac:dyDescent="0.3"/>
  <cols>
    <col min="1" max="1" width="27.88671875" bestFit="1" customWidth="1"/>
    <col min="2" max="2" width="15.88671875" bestFit="1" customWidth="1"/>
    <col min="3" max="3" width="20.5546875" bestFit="1" customWidth="1"/>
    <col min="4" max="4" width="6" bestFit="1" customWidth="1"/>
    <col min="5" max="5" width="9" bestFit="1" customWidth="1"/>
    <col min="6" max="7" width="8.3320312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s="1">
        <v>44286</v>
      </c>
      <c r="D2" t="s">
        <v>2</v>
      </c>
      <c r="E2" s="2">
        <v>0.41666666666666669</v>
      </c>
    </row>
    <row r="4" spans="1:7" x14ac:dyDescent="0.3">
      <c r="A4" t="s">
        <v>3</v>
      </c>
      <c r="B4" t="s">
        <v>4</v>
      </c>
    </row>
    <row r="5" spans="1:7" x14ac:dyDescent="0.3">
      <c r="A5" t="s">
        <v>5</v>
      </c>
    </row>
    <row r="6" spans="1:7" x14ac:dyDescent="0.3">
      <c r="A6" t="s">
        <v>6</v>
      </c>
    </row>
    <row r="8" spans="1:7" x14ac:dyDescent="0.3">
      <c r="A8" t="s">
        <v>7</v>
      </c>
      <c r="B8" t="s">
        <v>8</v>
      </c>
      <c r="C8" t="s">
        <v>9</v>
      </c>
      <c r="F8" t="s">
        <v>10</v>
      </c>
      <c r="G8" t="s">
        <v>10</v>
      </c>
    </row>
    <row r="9" spans="1:7" x14ac:dyDescent="0.3">
      <c r="A9">
        <v>1</v>
      </c>
      <c r="B9">
        <v>0</v>
      </c>
      <c r="C9">
        <v>1.33</v>
      </c>
      <c r="F9">
        <f>AVERAGE(B9:B18)</f>
        <v>5.0000000000000001E-3</v>
      </c>
      <c r="G9">
        <f>AVERAGE(C9:C18)</f>
        <v>1.33</v>
      </c>
    </row>
    <row r="10" spans="1:7" x14ac:dyDescent="0.3">
      <c r="A10">
        <v>2</v>
      </c>
      <c r="B10">
        <v>0.01</v>
      </c>
      <c r="C10">
        <v>1.33</v>
      </c>
      <c r="F10">
        <f>_xlfn.STDEV.S(B9:B18)</f>
        <v>7.0710678118654753E-3</v>
      </c>
      <c r="G10">
        <f>_xlfn.STDEV.S(C9:C18)</f>
        <v>0</v>
      </c>
    </row>
    <row r="11" spans="1:7" x14ac:dyDescent="0.3">
      <c r="A11">
        <v>3</v>
      </c>
      <c r="B11">
        <v>0</v>
      </c>
      <c r="C11">
        <v>1.33</v>
      </c>
    </row>
    <row r="12" spans="1:7" x14ac:dyDescent="0.3">
      <c r="A12">
        <v>4</v>
      </c>
      <c r="B12">
        <v>0</v>
      </c>
      <c r="C12">
        <v>1.33</v>
      </c>
    </row>
    <row r="13" spans="1:7" x14ac:dyDescent="0.3">
      <c r="A13">
        <v>5</v>
      </c>
      <c r="B13">
        <v>0</v>
      </c>
      <c r="C13">
        <v>1.33</v>
      </c>
    </row>
    <row r="14" spans="1:7" x14ac:dyDescent="0.3">
      <c r="A14">
        <v>6</v>
      </c>
      <c r="B14">
        <v>0.01</v>
      </c>
      <c r="C14">
        <v>1.33</v>
      </c>
    </row>
    <row r="15" spans="1:7" x14ac:dyDescent="0.3">
      <c r="A15">
        <v>7</v>
      </c>
      <c r="B15">
        <v>0</v>
      </c>
      <c r="C15">
        <v>1.33</v>
      </c>
    </row>
    <row r="16" spans="1:7" x14ac:dyDescent="0.3">
      <c r="A16">
        <v>8</v>
      </c>
      <c r="B16">
        <v>0</v>
      </c>
      <c r="C16">
        <v>1.33</v>
      </c>
    </row>
    <row r="17" spans="1:7" x14ac:dyDescent="0.3">
      <c r="A17">
        <v>9</v>
      </c>
      <c r="B17">
        <v>0.02</v>
      </c>
      <c r="C17">
        <v>1.33</v>
      </c>
    </row>
    <row r="18" spans="1:7" x14ac:dyDescent="0.3">
      <c r="A18">
        <v>10</v>
      </c>
      <c r="B18">
        <v>0.01</v>
      </c>
      <c r="C18">
        <v>1.33</v>
      </c>
    </row>
    <row r="20" spans="1:7" x14ac:dyDescent="0.3">
      <c r="A20" t="s">
        <v>7</v>
      </c>
      <c r="B20" t="s">
        <v>8</v>
      </c>
      <c r="C20" t="s">
        <v>9</v>
      </c>
      <c r="F20" t="s">
        <v>10</v>
      </c>
      <c r="G20" t="s">
        <v>10</v>
      </c>
    </row>
    <row r="21" spans="1:7" x14ac:dyDescent="0.3">
      <c r="A21">
        <v>1</v>
      </c>
      <c r="B21">
        <v>15.16</v>
      </c>
      <c r="C21">
        <v>-0.16</v>
      </c>
      <c r="F21">
        <f>AVERAGE(B21:B30)</f>
        <v>15.156000000000001</v>
      </c>
      <c r="G21">
        <f>AVERAGE(C21:C30)</f>
        <v>-0.15499999999999997</v>
      </c>
    </row>
    <row r="22" spans="1:7" x14ac:dyDescent="0.3">
      <c r="A22">
        <v>2</v>
      </c>
      <c r="B22">
        <v>15.17</v>
      </c>
      <c r="C22">
        <v>-0.16</v>
      </c>
      <c r="F22">
        <f>_xlfn.STDEV.S(B21:B30)</f>
        <v>2.0655911179772793E-2</v>
      </c>
      <c r="G22">
        <f>_xlfn.STDEV.S(C21:C30)</f>
        <v>5.2704627669473035E-3</v>
      </c>
    </row>
    <row r="23" spans="1:7" x14ac:dyDescent="0.3">
      <c r="A23">
        <v>3</v>
      </c>
      <c r="B23">
        <v>15.17</v>
      </c>
      <c r="C23">
        <v>-0.16</v>
      </c>
    </row>
    <row r="24" spans="1:7" x14ac:dyDescent="0.3">
      <c r="A24">
        <v>4</v>
      </c>
      <c r="B24">
        <v>15.16</v>
      </c>
      <c r="C24">
        <v>-0.16</v>
      </c>
    </row>
    <row r="25" spans="1:7" x14ac:dyDescent="0.3">
      <c r="A25">
        <v>5</v>
      </c>
      <c r="B25">
        <v>15.14</v>
      </c>
      <c r="C25">
        <v>-0.16</v>
      </c>
    </row>
    <row r="26" spans="1:7" x14ac:dyDescent="0.3">
      <c r="A26">
        <v>6</v>
      </c>
      <c r="B26">
        <v>15.12</v>
      </c>
      <c r="C26">
        <v>-0.15</v>
      </c>
    </row>
    <row r="27" spans="1:7" x14ac:dyDescent="0.3">
      <c r="A27">
        <v>7</v>
      </c>
      <c r="B27">
        <v>15.14</v>
      </c>
      <c r="C27">
        <v>-0.15</v>
      </c>
    </row>
    <row r="28" spans="1:7" x14ac:dyDescent="0.3">
      <c r="A28">
        <v>8</v>
      </c>
      <c r="B28">
        <v>15.14</v>
      </c>
      <c r="C28">
        <v>-0.15</v>
      </c>
    </row>
    <row r="29" spans="1:7" x14ac:dyDescent="0.3">
      <c r="A29">
        <v>9</v>
      </c>
      <c r="B29">
        <v>15.17</v>
      </c>
      <c r="C29">
        <v>-0.15</v>
      </c>
    </row>
    <row r="30" spans="1:7" x14ac:dyDescent="0.3">
      <c r="A30">
        <v>10</v>
      </c>
      <c r="B30">
        <v>15.19</v>
      </c>
      <c r="C30">
        <v>-0.15</v>
      </c>
    </row>
    <row r="32" spans="1:7" x14ac:dyDescent="0.3">
      <c r="A32" t="s">
        <v>7</v>
      </c>
      <c r="B32" t="s">
        <v>8</v>
      </c>
      <c r="C32" t="s">
        <v>9</v>
      </c>
      <c r="F32" t="s">
        <v>10</v>
      </c>
      <c r="G32" t="s">
        <v>10</v>
      </c>
    </row>
    <row r="33" spans="1:7" x14ac:dyDescent="0.3">
      <c r="A33">
        <v>1</v>
      </c>
      <c r="B33">
        <v>12.15</v>
      </c>
      <c r="C33">
        <v>0.2</v>
      </c>
      <c r="F33">
        <f>AVERAGE(B33:B42)</f>
        <v>12.098999999999998</v>
      </c>
      <c r="G33">
        <f>AVERAGE(C33:C42)</f>
        <v>0.19499999999999998</v>
      </c>
    </row>
    <row r="34" spans="1:7" x14ac:dyDescent="0.3">
      <c r="A34">
        <v>2</v>
      </c>
      <c r="B34">
        <v>12.14</v>
      </c>
      <c r="C34">
        <v>0.2</v>
      </c>
      <c r="F34">
        <f>_xlfn.STDEV.S(B33:B42)</f>
        <v>2.6853512081497215E-2</v>
      </c>
      <c r="G34">
        <f>_xlfn.STDEV.S(C33:C42)</f>
        <v>5.2704627669473035E-3</v>
      </c>
    </row>
    <row r="35" spans="1:7" x14ac:dyDescent="0.3">
      <c r="A35">
        <v>3</v>
      </c>
      <c r="B35">
        <v>12.11</v>
      </c>
      <c r="C35">
        <v>0.2</v>
      </c>
    </row>
    <row r="36" spans="1:7" x14ac:dyDescent="0.3">
      <c r="A36">
        <v>4</v>
      </c>
      <c r="B36">
        <v>12.09</v>
      </c>
      <c r="C36">
        <v>0.2</v>
      </c>
    </row>
    <row r="37" spans="1:7" x14ac:dyDescent="0.3">
      <c r="A37">
        <v>5</v>
      </c>
      <c r="B37">
        <v>12.08</v>
      </c>
      <c r="C37">
        <v>0.2</v>
      </c>
    </row>
    <row r="38" spans="1:7" x14ac:dyDescent="0.3">
      <c r="A38">
        <v>6</v>
      </c>
      <c r="B38">
        <v>12.1</v>
      </c>
      <c r="C38">
        <v>0.19</v>
      </c>
    </row>
    <row r="39" spans="1:7" x14ac:dyDescent="0.3">
      <c r="A39">
        <v>7</v>
      </c>
      <c r="B39">
        <v>12.08</v>
      </c>
      <c r="C39">
        <v>0.19</v>
      </c>
    </row>
    <row r="40" spans="1:7" x14ac:dyDescent="0.3">
      <c r="A40">
        <v>8</v>
      </c>
      <c r="B40">
        <v>12.09</v>
      </c>
      <c r="C40">
        <v>0.19</v>
      </c>
    </row>
    <row r="41" spans="1:7" x14ac:dyDescent="0.3">
      <c r="A41">
        <v>9</v>
      </c>
      <c r="B41">
        <v>12.08</v>
      </c>
      <c r="C41">
        <v>0.19</v>
      </c>
    </row>
    <row r="42" spans="1:7" x14ac:dyDescent="0.3">
      <c r="A42">
        <v>10</v>
      </c>
      <c r="B42">
        <v>12.07</v>
      </c>
      <c r="C42">
        <v>0.19</v>
      </c>
    </row>
    <row r="44" spans="1:7" x14ac:dyDescent="0.3">
      <c r="A44" t="s">
        <v>7</v>
      </c>
      <c r="B44" t="s">
        <v>8</v>
      </c>
      <c r="C44" t="s">
        <v>9</v>
      </c>
      <c r="F44" t="s">
        <v>10</v>
      </c>
      <c r="G44" t="s">
        <v>10</v>
      </c>
    </row>
    <row r="45" spans="1:7" x14ac:dyDescent="0.3">
      <c r="A45">
        <v>1</v>
      </c>
      <c r="B45">
        <v>9.08</v>
      </c>
      <c r="C45">
        <v>0.67</v>
      </c>
      <c r="F45">
        <f>AVERAGE(B45:B54)</f>
        <v>9.0609999999999999</v>
      </c>
      <c r="G45">
        <f>AVERAGE(C45:C54)</f>
        <v>0.66600000000000015</v>
      </c>
    </row>
    <row r="46" spans="1:7" x14ac:dyDescent="0.3">
      <c r="A46">
        <v>2</v>
      </c>
      <c r="B46">
        <v>9.07</v>
      </c>
      <c r="C46">
        <v>0.67</v>
      </c>
      <c r="F46">
        <f>_xlfn.STDEV.S(B45:B54)</f>
        <v>1.7919573407621119E-2</v>
      </c>
      <c r="G46">
        <f>_xlfn.STDEV.S(C45:C54)</f>
        <v>5.1639777949432268E-3</v>
      </c>
    </row>
    <row r="47" spans="1:7" x14ac:dyDescent="0.3">
      <c r="A47">
        <v>3</v>
      </c>
      <c r="B47">
        <v>9.07</v>
      </c>
      <c r="C47">
        <v>0.67</v>
      </c>
    </row>
    <row r="48" spans="1:7" x14ac:dyDescent="0.3">
      <c r="A48">
        <v>4</v>
      </c>
      <c r="B48">
        <v>9.07</v>
      </c>
      <c r="C48">
        <v>0.67</v>
      </c>
    </row>
    <row r="49" spans="1:7" x14ac:dyDescent="0.3">
      <c r="A49">
        <v>5</v>
      </c>
      <c r="B49">
        <v>9.06</v>
      </c>
      <c r="C49">
        <v>0.67</v>
      </c>
    </row>
    <row r="50" spans="1:7" x14ac:dyDescent="0.3">
      <c r="A50">
        <v>6</v>
      </c>
      <c r="B50">
        <v>9.06</v>
      </c>
      <c r="C50">
        <v>0.67</v>
      </c>
    </row>
    <row r="51" spans="1:7" x14ac:dyDescent="0.3">
      <c r="A51">
        <v>7</v>
      </c>
      <c r="B51">
        <v>9.07</v>
      </c>
      <c r="C51">
        <v>0.66</v>
      </c>
    </row>
    <row r="52" spans="1:7" x14ac:dyDescent="0.3">
      <c r="A52">
        <v>8</v>
      </c>
      <c r="B52">
        <v>9.07</v>
      </c>
      <c r="C52">
        <v>0.66</v>
      </c>
    </row>
    <row r="53" spans="1:7" x14ac:dyDescent="0.3">
      <c r="A53">
        <v>9</v>
      </c>
      <c r="B53">
        <v>9.0399999999999991</v>
      </c>
      <c r="C53">
        <v>0.66</v>
      </c>
    </row>
    <row r="54" spans="1:7" x14ac:dyDescent="0.3">
      <c r="A54">
        <v>10</v>
      </c>
      <c r="B54">
        <v>9.02</v>
      </c>
      <c r="C54">
        <v>0.66</v>
      </c>
    </row>
    <row r="56" spans="1:7" x14ac:dyDescent="0.3">
      <c r="A56" t="s">
        <v>7</v>
      </c>
      <c r="B56" t="s">
        <v>8</v>
      </c>
      <c r="C56" t="s">
        <v>9</v>
      </c>
      <c r="F56" t="s">
        <v>10</v>
      </c>
      <c r="G56" t="s">
        <v>10</v>
      </c>
    </row>
    <row r="57" spans="1:7" x14ac:dyDescent="0.3">
      <c r="A57">
        <v>1</v>
      </c>
      <c r="B57">
        <v>6.08</v>
      </c>
      <c r="C57">
        <v>0.98</v>
      </c>
      <c r="F57">
        <f>AVERAGE(B57:B66)</f>
        <v>6.0789999999999988</v>
      </c>
      <c r="G57">
        <f>AVERAGE(C57:C66)</f>
        <v>0.97599999999999998</v>
      </c>
    </row>
    <row r="58" spans="1:7" x14ac:dyDescent="0.3">
      <c r="A58">
        <v>2</v>
      </c>
      <c r="B58">
        <v>6.07</v>
      </c>
      <c r="C58">
        <v>0.98</v>
      </c>
      <c r="F58">
        <f>_xlfn.STDEV.S(B57:B66)</f>
        <v>1.4491376746189387E-2</v>
      </c>
      <c r="G58">
        <f>_xlfn.STDEV.S(C57:C66)</f>
        <v>5.1639777949432268E-3</v>
      </c>
    </row>
    <row r="59" spans="1:7" x14ac:dyDescent="0.3">
      <c r="A59">
        <v>3</v>
      </c>
      <c r="B59">
        <v>6.07</v>
      </c>
      <c r="C59">
        <v>0.98</v>
      </c>
    </row>
    <row r="60" spans="1:7" x14ac:dyDescent="0.3">
      <c r="A60">
        <v>4</v>
      </c>
      <c r="B60">
        <v>6.06</v>
      </c>
      <c r="C60">
        <v>0.98</v>
      </c>
    </row>
    <row r="61" spans="1:7" x14ac:dyDescent="0.3">
      <c r="A61">
        <v>5</v>
      </c>
      <c r="B61">
        <v>6.06</v>
      </c>
      <c r="C61">
        <v>0.98</v>
      </c>
    </row>
    <row r="62" spans="1:7" x14ac:dyDescent="0.3">
      <c r="A62">
        <v>6</v>
      </c>
      <c r="B62">
        <v>6.08</v>
      </c>
      <c r="C62">
        <v>0.97</v>
      </c>
    </row>
    <row r="63" spans="1:7" x14ac:dyDescent="0.3">
      <c r="A63">
        <v>7</v>
      </c>
      <c r="B63">
        <v>6.08</v>
      </c>
      <c r="C63">
        <v>0.97</v>
      </c>
    </row>
    <row r="64" spans="1:7" x14ac:dyDescent="0.3">
      <c r="A64">
        <v>8</v>
      </c>
      <c r="B64">
        <v>6.09</v>
      </c>
      <c r="C64">
        <v>0.97</v>
      </c>
    </row>
    <row r="65" spans="1:7" x14ac:dyDescent="0.3">
      <c r="A65">
        <v>9</v>
      </c>
      <c r="B65">
        <v>6.1</v>
      </c>
      <c r="C65">
        <v>0.97</v>
      </c>
    </row>
    <row r="66" spans="1:7" x14ac:dyDescent="0.3">
      <c r="A66">
        <v>10</v>
      </c>
      <c r="B66">
        <v>6.1</v>
      </c>
      <c r="C66">
        <v>0.98</v>
      </c>
    </row>
    <row r="67" spans="1:7" x14ac:dyDescent="0.3">
      <c r="A67">
        <v>11</v>
      </c>
      <c r="B67">
        <v>6.09</v>
      </c>
      <c r="C67">
        <v>0.98</v>
      </c>
    </row>
    <row r="69" spans="1:7" x14ac:dyDescent="0.3">
      <c r="A69" t="s">
        <v>7</v>
      </c>
      <c r="B69" t="s">
        <v>8</v>
      </c>
      <c r="C69" t="s">
        <v>9</v>
      </c>
      <c r="F69" t="s">
        <v>10</v>
      </c>
      <c r="G69" t="s">
        <v>10</v>
      </c>
    </row>
    <row r="70" spans="1:7" x14ac:dyDescent="0.3">
      <c r="A70">
        <v>1</v>
      </c>
      <c r="B70">
        <v>3.05</v>
      </c>
      <c r="C70">
        <v>1.1100000000000001</v>
      </c>
      <c r="F70">
        <f>AVERAGE(B70:B79)</f>
        <v>3.056</v>
      </c>
      <c r="G70">
        <f>AVERAGE(C70:C79)</f>
        <v>1.1099999999999999</v>
      </c>
    </row>
    <row r="71" spans="1:7" x14ac:dyDescent="0.3">
      <c r="A71">
        <v>2</v>
      </c>
      <c r="B71">
        <v>3.06</v>
      </c>
      <c r="C71">
        <v>1.1100000000000001</v>
      </c>
      <c r="F71">
        <f>_xlfn.STDEV.S(B70:B79)</f>
        <v>1.0749676997731465E-2</v>
      </c>
      <c r="G71">
        <f>_xlfn.STDEV.S(C70:C79)</f>
        <v>2.3405556457178008E-16</v>
      </c>
    </row>
    <row r="72" spans="1:7" x14ac:dyDescent="0.3">
      <c r="A72">
        <v>3</v>
      </c>
      <c r="B72">
        <v>3.07</v>
      </c>
      <c r="C72">
        <v>1.1100000000000001</v>
      </c>
    </row>
    <row r="73" spans="1:7" x14ac:dyDescent="0.3">
      <c r="A73">
        <v>4</v>
      </c>
      <c r="B73">
        <v>3.06</v>
      </c>
      <c r="C73">
        <v>1.1100000000000001</v>
      </c>
    </row>
    <row r="74" spans="1:7" x14ac:dyDescent="0.3">
      <c r="A74">
        <v>5</v>
      </c>
      <c r="B74">
        <v>3.06</v>
      </c>
      <c r="C74">
        <v>1.1100000000000001</v>
      </c>
    </row>
    <row r="75" spans="1:7" x14ac:dyDescent="0.3">
      <c r="A75">
        <v>6</v>
      </c>
      <c r="B75">
        <v>3.06</v>
      </c>
      <c r="C75">
        <v>1.1100000000000001</v>
      </c>
    </row>
    <row r="76" spans="1:7" x14ac:dyDescent="0.3">
      <c r="A76">
        <v>7</v>
      </c>
      <c r="B76">
        <v>3.03</v>
      </c>
      <c r="C76">
        <v>1.1100000000000001</v>
      </c>
    </row>
    <row r="77" spans="1:7" x14ac:dyDescent="0.3">
      <c r="A77">
        <v>8</v>
      </c>
      <c r="B77">
        <v>3.05</v>
      </c>
      <c r="C77">
        <v>1.1100000000000001</v>
      </c>
    </row>
    <row r="78" spans="1:7" x14ac:dyDescent="0.3">
      <c r="A78">
        <v>9</v>
      </c>
      <c r="B78">
        <v>3.06</v>
      </c>
      <c r="C78">
        <v>1.1100000000000001</v>
      </c>
    </row>
    <row r="79" spans="1:7" x14ac:dyDescent="0.3">
      <c r="A79">
        <v>10</v>
      </c>
      <c r="B79">
        <v>3.06</v>
      </c>
      <c r="C79">
        <v>1.1100000000000001</v>
      </c>
    </row>
    <row r="81" spans="1:7" x14ac:dyDescent="0.3">
      <c r="A81" t="s">
        <v>7</v>
      </c>
      <c r="B81" t="s">
        <v>8</v>
      </c>
      <c r="C81" t="s">
        <v>9</v>
      </c>
      <c r="F81" t="s">
        <v>10</v>
      </c>
      <c r="G81" t="s">
        <v>10</v>
      </c>
    </row>
    <row r="82" spans="1:7" x14ac:dyDescent="0.3">
      <c r="A82">
        <v>1</v>
      </c>
      <c r="B82">
        <v>13.32</v>
      </c>
      <c r="C82">
        <v>0.01</v>
      </c>
      <c r="F82">
        <f>AVERAGE(B82:B91)</f>
        <v>13.352</v>
      </c>
      <c r="G82">
        <f>AVERAGE(C82:C91)</f>
        <v>-3.0000000000000005E-3</v>
      </c>
    </row>
    <row r="83" spans="1:7" x14ac:dyDescent="0.3">
      <c r="A83">
        <v>2</v>
      </c>
      <c r="B83">
        <v>13.32</v>
      </c>
      <c r="C83">
        <v>0.01</v>
      </c>
      <c r="F83">
        <f>_xlfn.STDEV.S(B82:B91)</f>
        <v>3.5839146815241606E-2</v>
      </c>
      <c r="G83">
        <f>_xlfn.STDEV.S(C82:C91)</f>
        <v>9.4868329805051395E-3</v>
      </c>
    </row>
    <row r="84" spans="1:7" x14ac:dyDescent="0.3">
      <c r="A84">
        <v>3</v>
      </c>
      <c r="B84">
        <v>13.33</v>
      </c>
      <c r="C84">
        <v>0.01</v>
      </c>
    </row>
    <row r="85" spans="1:7" x14ac:dyDescent="0.3">
      <c r="A85">
        <v>4</v>
      </c>
      <c r="B85">
        <v>13.31</v>
      </c>
      <c r="C85">
        <v>0</v>
      </c>
    </row>
    <row r="86" spans="1:7" x14ac:dyDescent="0.3">
      <c r="A86">
        <v>5</v>
      </c>
      <c r="B86">
        <v>13.41</v>
      </c>
      <c r="C86">
        <v>-0.01</v>
      </c>
    </row>
    <row r="87" spans="1:7" x14ac:dyDescent="0.3">
      <c r="A87">
        <v>6</v>
      </c>
      <c r="B87">
        <v>13.4</v>
      </c>
      <c r="C87">
        <v>-0.01</v>
      </c>
    </row>
    <row r="88" spans="1:7" x14ac:dyDescent="0.3">
      <c r="A88">
        <v>7</v>
      </c>
      <c r="B88">
        <v>13.38</v>
      </c>
      <c r="C88">
        <v>-0.01</v>
      </c>
    </row>
    <row r="89" spans="1:7" x14ac:dyDescent="0.3">
      <c r="A89">
        <v>8</v>
      </c>
      <c r="B89">
        <v>13.37</v>
      </c>
      <c r="C89">
        <v>-0.01</v>
      </c>
    </row>
    <row r="90" spans="1:7" x14ac:dyDescent="0.3">
      <c r="A90">
        <v>9</v>
      </c>
      <c r="B90">
        <v>13.35</v>
      </c>
      <c r="C90">
        <v>-0.01</v>
      </c>
    </row>
    <row r="91" spans="1:7" x14ac:dyDescent="0.3">
      <c r="A91">
        <v>10</v>
      </c>
      <c r="B91">
        <v>13.33</v>
      </c>
      <c r="C91">
        <v>-0.01</v>
      </c>
    </row>
    <row r="93" spans="1:7" x14ac:dyDescent="0.3">
      <c r="A93" t="s">
        <v>7</v>
      </c>
      <c r="B93" t="s">
        <v>8</v>
      </c>
      <c r="C93" t="s">
        <v>9</v>
      </c>
      <c r="F93" t="s">
        <v>10</v>
      </c>
      <c r="G93" t="s">
        <v>10</v>
      </c>
    </row>
    <row r="94" spans="1:7" x14ac:dyDescent="0.3">
      <c r="A94">
        <v>1</v>
      </c>
      <c r="B94">
        <v>0.01</v>
      </c>
      <c r="C94">
        <v>1.1399999999999999</v>
      </c>
      <c r="F94">
        <f>AVERAGE(B94:B103)</f>
        <v>2E-3</v>
      </c>
      <c r="G94">
        <f>AVERAGE(C94:C103)</f>
        <v>1.1400000000000001</v>
      </c>
    </row>
    <row r="95" spans="1:7" x14ac:dyDescent="0.3">
      <c r="A95">
        <v>2</v>
      </c>
      <c r="B95">
        <v>0</v>
      </c>
      <c r="C95">
        <v>1.1399999999999999</v>
      </c>
      <c r="F95">
        <f>_xlfn.STDEV.S(B94:B103)</f>
        <v>1.0327955589886445E-2</v>
      </c>
      <c r="G95">
        <f>_xlfn.STDEV.S(C94:C103)</f>
        <v>2.3405556457178008E-16</v>
      </c>
    </row>
    <row r="96" spans="1:7" x14ac:dyDescent="0.3">
      <c r="A96">
        <v>3</v>
      </c>
      <c r="B96">
        <v>-0.01</v>
      </c>
      <c r="C96">
        <v>1.1399999999999999</v>
      </c>
    </row>
    <row r="97" spans="1:3" x14ac:dyDescent="0.3">
      <c r="A97">
        <v>4</v>
      </c>
      <c r="B97">
        <v>-0.01</v>
      </c>
      <c r="C97">
        <v>1.1399999999999999</v>
      </c>
    </row>
    <row r="98" spans="1:3" x14ac:dyDescent="0.3">
      <c r="A98">
        <v>5</v>
      </c>
      <c r="B98">
        <v>0</v>
      </c>
      <c r="C98">
        <v>1.1399999999999999</v>
      </c>
    </row>
    <row r="99" spans="1:3" x14ac:dyDescent="0.3">
      <c r="A99">
        <v>6</v>
      </c>
      <c r="B99">
        <v>-0.01</v>
      </c>
      <c r="C99">
        <v>1.1399999999999999</v>
      </c>
    </row>
    <row r="100" spans="1:3" x14ac:dyDescent="0.3">
      <c r="A100">
        <v>7</v>
      </c>
      <c r="B100">
        <v>0.01</v>
      </c>
      <c r="C100">
        <v>1.1399999999999999</v>
      </c>
    </row>
    <row r="101" spans="1:3" x14ac:dyDescent="0.3">
      <c r="A101">
        <v>8</v>
      </c>
      <c r="B101">
        <v>0</v>
      </c>
      <c r="C101">
        <v>1.1399999999999999</v>
      </c>
    </row>
    <row r="102" spans="1:3" x14ac:dyDescent="0.3">
      <c r="A102">
        <v>9</v>
      </c>
      <c r="B102">
        <v>0.01</v>
      </c>
      <c r="C102">
        <v>1.1399999999999999</v>
      </c>
    </row>
    <row r="103" spans="1:3" x14ac:dyDescent="0.3">
      <c r="A103">
        <v>10</v>
      </c>
      <c r="B103">
        <v>0.02</v>
      </c>
      <c r="C103">
        <v>1.1399999999999999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C5311C-97FC-40A4-837B-548BC4CE8512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68EFF3-1205-4709-B093-2AB1AF5AC8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E78A7D-6CA8-442D-A848-7EB8A4140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Unit2Raw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2021-03-31T15:56:14Z</dcterms:created>
  <dcterms:modified xsi:type="dcterms:W3CDTF">2021-04-14T05:03:22Z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